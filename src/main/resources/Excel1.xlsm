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fficial\Maqqie\Rate calculation\"/>
    </mc:Choice>
  </mc:AlternateContent>
  <bookViews>
    <workbookView xWindow="0" yWindow="0" windowWidth="23040" windowHeight="9060" activeTab="2"/>
  </bookViews>
  <sheets>
    <sheet name="Input" sheetId="1" r:id="rId1"/>
    <sheet name="Minimum Calculation" sheetId="7" r:id="rId2"/>
    <sheet name="Calculation" sheetId="2" r:id="rId3"/>
    <sheet name="Output" sheetId="6" r:id="rId4"/>
  </sheets>
  <definedNames>
    <definedName name="_xlnm._FilterDatabase" localSheetId="0" hidden="1">Input!$A$1:$Q$47</definedName>
    <definedName name="_xlnm.Print_Area" localSheetId="0">Input!#REF!</definedName>
  </definedNames>
  <calcPr calcId="162913"/>
</workbook>
</file>

<file path=xl/calcChain.xml><?xml version="1.0" encoding="utf-8"?>
<calcChain xmlns="http://schemas.openxmlformats.org/spreadsheetml/2006/main">
  <c r="H37" i="2" l="1"/>
  <c r="C4" i="6" l="1"/>
  <c r="F37" i="7"/>
  <c r="E14" i="7" s="1"/>
  <c r="E17" i="7" s="1"/>
  <c r="E43" i="7"/>
  <c r="E42" i="7"/>
  <c r="E41" i="7"/>
  <c r="E34" i="7"/>
  <c r="E33" i="7"/>
  <c r="E29" i="7"/>
  <c r="E28" i="7"/>
  <c r="E22" i="7"/>
  <c r="E8" i="7"/>
  <c r="E42" i="2" l="1"/>
  <c r="E43" i="2"/>
  <c r="E34" i="2"/>
  <c r="E33" i="2"/>
  <c r="C37" i="1" l="1"/>
  <c r="C38" i="1"/>
  <c r="E6" i="2"/>
  <c r="E41" i="2"/>
  <c r="E28" i="2"/>
  <c r="E22" i="2"/>
  <c r="C22" i="1" l="1"/>
  <c r="E8" i="2" l="1"/>
  <c r="E4" i="2" s="1"/>
  <c r="E29" i="2"/>
  <c r="C3" i="1"/>
  <c r="C18" i="1" l="1"/>
  <c r="C20" i="1"/>
  <c r="C19" i="1"/>
  <c r="E27" i="7" l="1"/>
  <c r="F27" i="7" s="1"/>
  <c r="E27" i="2"/>
  <c r="F29" i="7" l="1"/>
  <c r="F28" i="7"/>
  <c r="F30" i="7"/>
  <c r="F38" i="7" s="1"/>
  <c r="F39" i="7" s="1"/>
  <c r="F42" i="7" l="1"/>
  <c r="F33" i="7"/>
  <c r="E9" i="7" s="1"/>
  <c r="F43" i="7"/>
  <c r="F41" i="7"/>
  <c r="F23" i="7"/>
  <c r="F34" i="7"/>
  <c r="E15" i="7"/>
  <c r="F35" i="7" l="1"/>
  <c r="F44" i="7"/>
  <c r="F22" i="7" s="1"/>
  <c r="F24" i="7" s="1"/>
  <c r="E4" i="7" s="1"/>
  <c r="E10" i="7" l="1"/>
  <c r="E12" i="7" s="1"/>
  <c r="C3" i="6"/>
  <c r="E14" i="2"/>
  <c r="F27" i="2"/>
  <c r="F29" i="2" s="1"/>
  <c r="E17" i="2" l="1"/>
  <c r="C2" i="6" s="1"/>
  <c r="F28" i="2"/>
  <c r="F30" i="2" s="1"/>
  <c r="F38" i="2" s="1"/>
  <c r="F39" i="2" s="1"/>
  <c r="F33" i="2" l="1"/>
  <c r="E9" i="2" s="1"/>
  <c r="F42" i="2"/>
  <c r="F43" i="2"/>
  <c r="F23" i="2"/>
  <c r="F34" i="2"/>
  <c r="F41" i="2"/>
  <c r="E15" i="2"/>
  <c r="F35" i="2" l="1"/>
  <c r="F44" i="2"/>
  <c r="F22" i="2" s="1"/>
  <c r="F24" i="2" s="1"/>
  <c r="E10" i="2" l="1"/>
  <c r="E12" i="2" s="1"/>
</calcChain>
</file>

<file path=xl/sharedStrings.xml><?xml version="1.0" encoding="utf-8"?>
<sst xmlns="http://schemas.openxmlformats.org/spreadsheetml/2006/main" count="327" uniqueCount="94">
  <si>
    <t>Grondslag</t>
  </si>
  <si>
    <t>%</t>
  </si>
  <si>
    <t xml:space="preserve">€ </t>
  </si>
  <si>
    <t>Bruto uurloon</t>
  </si>
  <si>
    <t>Totaal bruto</t>
  </si>
  <si>
    <t>Werkgeverslasten</t>
  </si>
  <si>
    <t>Pensioenpremie</t>
  </si>
  <si>
    <t>Verzekering aanvulling ZW</t>
  </si>
  <si>
    <t>-/-</t>
  </si>
  <si>
    <t>Dbfield</t>
  </si>
  <si>
    <t>Db</t>
  </si>
  <si>
    <t>Value</t>
  </si>
  <si>
    <t>«PremiesAof»</t>
  </si>
  <si>
    <t>«PremiesAZW-I»</t>
  </si>
  <si>
    <t>«PremiesAZW-II»</t>
  </si>
  <si>
    <t>«PremiesAWF»</t>
  </si>
  <si>
    <t>«PremiesSectorfondsI»</t>
  </si>
  <si>
    <t>«PremiesSectorfondsII»</t>
  </si>
  <si>
    <t>«PremiesWhkZWflex»</t>
  </si>
  <si>
    <t>«PremiesWhkWGA»</t>
  </si>
  <si>
    <t>«PremiesZvF»</t>
  </si>
  <si>
    <t>«DagenFeest»</t>
  </si>
  <si>
    <t>«ReserveringBovenwettelijk»</t>
  </si>
  <si>
    <t>«ReserveringKvBv»</t>
  </si>
  <si>
    <t>«ReserveringVakgeld»</t>
  </si>
  <si>
    <t>«ReserveringScholing»</t>
  </si>
  <si>
    <t>«WachtdagcompensatieII»</t>
  </si>
  <si>
    <t>«WachtdagcompensatieI»</t>
  </si>
  <si>
    <t>SV</t>
  </si>
  <si>
    <t>Bruto</t>
  </si>
  <si>
    <t>WG lasten over SV</t>
  </si>
  <si>
    <t>WG lasten over Bruto</t>
  </si>
  <si>
    <t>«SVloonMaxJaar»</t>
  </si>
  <si>
    <t>«SVloonMaxUur»</t>
  </si>
  <si>
    <t>«PensioenBasisPremieWG»</t>
  </si>
  <si>
    <t>«PensioenBasisPremieWN»</t>
  </si>
  <si>
    <t>«PensioenPlusPremieWG»</t>
  </si>
  <si>
    <t>«PensioenPlusPremieWN»</t>
  </si>
  <si>
    <t>«PensioenMaxUur»</t>
  </si>
  <si>
    <t>«PensioenFranchiseUur»</t>
  </si>
  <si>
    <t>«DagenWerkbaar»</t>
  </si>
  <si>
    <t>«DagenVakantieWettelijk»</t>
  </si>
  <si>
    <t>«DagenVakantieBovenwettelijkRegulier»</t>
  </si>
  <si>
    <t>«ReserveringEV»</t>
  </si>
  <si>
    <t>VT</t>
  </si>
  <si>
    <t>VD/ADV</t>
  </si>
  <si>
    <t>WD</t>
  </si>
  <si>
    <t>Totaal bruto per uur</t>
  </si>
  <si>
    <t>Reserveringen</t>
  </si>
  <si>
    <t>Bruto uurloon + VD/ADV</t>
  </si>
  <si>
    <t>Totaal bruto -/- franchise</t>
  </si>
  <si>
    <t>Totaal werkgeverslasten</t>
  </si>
  <si>
    <t>Totaal reserveringen</t>
  </si>
  <si>
    <t>Totaal pensioenpremie</t>
  </si>
  <si>
    <t>SV uurloon</t>
  </si>
  <si>
    <t>Orders</t>
  </si>
  <si>
    <t>«PensionFundStiPPtype»</t>
  </si>
  <si>
    <t>«UurtariefFactorUurloon»</t>
  </si>
  <si>
    <t>«FunctionNature»</t>
  </si>
  <si>
    <t>«EmployerProvision»</t>
  </si>
  <si>
    <t>«CompanyDagenEV»</t>
  </si>
  <si>
    <t>Basis</t>
  </si>
  <si>
    <t>PayrollRulesCompany</t>
  </si>
  <si>
    <t>«ReserveringWettelijk»</t>
  </si>
  <si>
    <t>«ReserveringFeest»</t>
  </si>
  <si>
    <t>MasterDataPayrollRules</t>
  </si>
  <si>
    <t>Provisie</t>
  </si>
  <si>
    <t>Input frequency</t>
  </si>
  <si>
    <t>Once</t>
  </si>
  <si>
    <t>note a valid starting date of the data in relation to the order StartDate</t>
  </si>
  <si>
    <t>Explanation 2 (not for calculation)</t>
  </si>
  <si>
    <t>Explanation 1 (not for calculation)</t>
  </si>
  <si>
    <t>Every time the value in the UI is changed</t>
  </si>
  <si>
    <t>«PensioenBouw1PremieWG»</t>
  </si>
  <si>
    <t>«PensioenBouw1PremieWN»</t>
  </si>
  <si>
    <t>«PensioenBouw2PremieWG»</t>
  </si>
  <si>
    <t>«PensioenBouw2PremieWN»</t>
  </si>
  <si>
    <t>«PensioenBouwMaxUur»</t>
  </si>
  <si>
    <t>«PensioenBouwFranchiseUur»</t>
  </si>
  <si>
    <t>«PensioenBouwVTfactor»</t>
  </si>
  <si>
    <t>«PensioenUTA1PremieWG»</t>
  </si>
  <si>
    <t>«PensioenUTA1PremieWN»</t>
  </si>
  <si>
    <t>«PensioenUTA2PremieWG»</t>
  </si>
  <si>
    <t>«PensioenUTA2PremieWN»</t>
  </si>
  <si>
    <t>Pensioen WG deel 2</t>
  </si>
  <si>
    <t>Pensioen WG deel 1</t>
  </si>
  <si>
    <t>WN bijdrage pensioen 1</t>
  </si>
  <si>
    <t>WN bijdrage pensioen 2</t>
  </si>
  <si>
    <t>«HourlyRate»</t>
  </si>
  <si>
    <t>«HourlyRateMinimum»</t>
  </si>
  <si>
    <t>«HourlyWage»</t>
  </si>
  <si>
    <t>«LegalPayMinimum»</t>
  </si>
  <si>
    <t>«EqualpayMinimum»</t>
  </si>
  <si>
    <t>«CAOpayMinimum»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</si>
</sst>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 * #,##0.00_ ;_ * \-#,##0.00_ ;_ * &quot;-&quot;??_ ;_ @_ "/>
    <numFmt numFmtId="165" formatCode="_-* #,##0.00_-;_-* #,##0.00\-;_-* &quot;-&quot;??_-;_-@_-"/>
    <numFmt numFmtId="166" formatCode="&quot;€&quot;\ #,##0.00"/>
    <numFmt numFmtId="167" formatCode="0.0000%"/>
  </numFmts>
  <fonts count="13" x14ac:knownFonts="1">
    <font>
      <sz val="10"/>
      <name val="Palatino Linotype"/>
    </font>
    <font>
      <sz val="11"/>
      <color theme="1"/>
      <name val="Calibri"/>
      <family val="2"/>
      <scheme val="minor"/>
    </font>
    <font>
      <sz val="10"/>
      <name val="Palatino Linotype"/>
    </font>
    <font>
      <b/>
      <sz val="10"/>
      <name val="Palatino Linotype"/>
      <family val="1"/>
    </font>
    <font>
      <sz val="8"/>
      <name val="Palatino Linotype"/>
      <family val="1"/>
    </font>
    <font>
      <sz val="10"/>
      <name val="Palatino Linotype"/>
      <family val="1"/>
    </font>
    <font>
      <i/>
      <sz val="10"/>
      <name val="Palatino Linotype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Palatino Linotype"/>
      <family val="1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3">
    <xf numFmtId="0" fontId="0" fillId="0" borderId="0" xfId="0"/>
    <xf numFmtId="10" fontId="0" fillId="0" borderId="0" xfId="0" applyNumberFormat="1"/>
    <xf numFmtId="0" fontId="5" fillId="0" borderId="0" xfId="0" applyFont="1"/>
    <xf numFmtId="164" fontId="0" fillId="0" borderId="0" xfId="0" applyNumberFormat="1"/>
    <xf numFmtId="0" fontId="5" fillId="0" borderId="0" xfId="0" quotePrefix="1" applyFont="1"/>
    <xf numFmtId="164" fontId="0" fillId="0" borderId="1" xfId="0" applyNumberFormat="1" applyBorder="1"/>
    <xf numFmtId="164" fontId="5" fillId="0" borderId="0" xfId="0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5" fillId="0" borderId="0" xfId="0" applyFont="1" applyBorder="1"/>
    <xf numFmtId="164" fontId="0" fillId="0" borderId="0" xfId="0" applyNumberFormat="1" applyBorder="1"/>
    <xf numFmtId="165" fontId="0" fillId="0" borderId="0" xfId="1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5" xfId="0" quotePrefix="1" applyFont="1" applyBorder="1"/>
    <xf numFmtId="0" fontId="7" fillId="0" borderId="0" xfId="0" applyFont="1"/>
    <xf numFmtId="0" fontId="8" fillId="0" borderId="0" xfId="0" applyFont="1"/>
    <xf numFmtId="4" fontId="8" fillId="0" borderId="0" xfId="0" applyNumberFormat="1" applyFont="1"/>
    <xf numFmtId="0" fontId="9" fillId="0" borderId="0" xfId="0" applyFont="1"/>
    <xf numFmtId="4" fontId="9" fillId="0" borderId="0" xfId="0" applyNumberFormat="1" applyFont="1"/>
    <xf numFmtId="165" fontId="8" fillId="0" borderId="0" xfId="1" applyFont="1"/>
    <xf numFmtId="0" fontId="0" fillId="0" borderId="0" xfId="0" applyFont="1" applyFill="1" applyBorder="1"/>
    <xf numFmtId="0" fontId="6" fillId="0" borderId="0" xfId="0" applyFont="1" applyBorder="1"/>
    <xf numFmtId="165" fontId="0" fillId="0" borderId="1" xfId="1" applyFont="1" applyBorder="1"/>
    <xf numFmtId="0" fontId="3" fillId="0" borderId="0" xfId="0" applyFont="1" applyBorder="1"/>
    <xf numFmtId="166" fontId="0" fillId="0" borderId="1" xfId="0" applyNumberFormat="1" applyBorder="1"/>
    <xf numFmtId="0" fontId="5" fillId="0" borderId="3" xfId="0" applyFont="1" applyBorder="1"/>
    <xf numFmtId="164" fontId="0" fillId="0" borderId="3" xfId="0" applyNumberFormat="1" applyBorder="1"/>
    <xf numFmtId="10" fontId="0" fillId="0" borderId="0" xfId="0" applyNumberFormat="1" applyBorder="1"/>
    <xf numFmtId="10" fontId="3" fillId="0" borderId="0" xfId="0" applyNumberFormat="1" applyFont="1" applyBorder="1"/>
    <xf numFmtId="164" fontId="3" fillId="0" borderId="0" xfId="0" applyNumberFormat="1" applyFont="1" applyBorder="1"/>
    <xf numFmtId="165" fontId="3" fillId="0" borderId="0" xfId="1" applyFont="1" applyBorder="1"/>
    <xf numFmtId="166" fontId="0" fillId="0" borderId="0" xfId="0" applyNumberFormat="1" applyBorder="1"/>
    <xf numFmtId="10" fontId="0" fillId="0" borderId="0" xfId="2" applyNumberFormat="1" applyFont="1" applyBorder="1"/>
    <xf numFmtId="166" fontId="3" fillId="0" borderId="0" xfId="0" applyNumberFormat="1" applyFont="1" applyBorder="1"/>
    <xf numFmtId="0" fontId="7" fillId="0" borderId="0" xfId="0" applyFont="1" applyFill="1"/>
    <xf numFmtId="0" fontId="0" fillId="0" borderId="0" xfId="0" applyFill="1"/>
    <xf numFmtId="0" fontId="0" fillId="0" borderId="0" xfId="0" applyFill="1" applyBorder="1"/>
    <xf numFmtId="165" fontId="0" fillId="0" borderId="0" xfId="1" applyFont="1"/>
    <xf numFmtId="9" fontId="0" fillId="0" borderId="0" xfId="2" applyFont="1"/>
    <xf numFmtId="0" fontId="11" fillId="0" borderId="0" xfId="0" applyFont="1"/>
    <xf numFmtId="0" fontId="12" fillId="0" borderId="0" xfId="0" applyFont="1"/>
    <xf numFmtId="165" fontId="0" fillId="0" borderId="0" xfId="1" applyFont="1" applyFill="1" applyBorder="1"/>
    <xf numFmtId="0" fontId="3" fillId="0" borderId="0" xfId="0" applyFont="1"/>
    <xf numFmtId="167" fontId="8" fillId="0" borderId="0" xfId="2" applyNumberFormat="1" applyFont="1"/>
    <xf numFmtId="167" fontId="0" fillId="0" borderId="0" xfId="2" applyNumberFormat="1" applyFont="1" applyBorder="1"/>
    <xf numFmtId="0" fontId="1" fillId="0" borderId="0" xfId="0" applyFont="1"/>
    <xf numFmtId="165" fontId="1" fillId="0" borderId="0" xfId="1" applyFont="1"/>
    <xf numFmtId="14" fontId="1" fillId="0" borderId="0" xfId="1" applyNumberFormat="1" applyFont="1"/>
    <xf numFmtId="10" fontId="1" fillId="0" borderId="0" xfId="2" applyNumberFormat="1" applyFont="1"/>
    <xf numFmtId="10" fontId="1" fillId="0" borderId="0" xfId="2" applyNumberFormat="1" applyFont="1" applyFill="1"/>
    <xf numFmtId="0" fontId="1" fillId="0" borderId="0" xfId="0" applyFont="1" applyFill="1" applyBorder="1"/>
    <xf numFmtId="0" fontId="1" fillId="0" borderId="0" xfId="0" applyFont="1" applyFill="1" applyBorder="1" applyAlignment="1">
      <alignment horizontal="right"/>
    </xf>
    <xf numFmtId="165" fontId="1" fillId="0" borderId="0" xfId="1" applyFont="1" applyFill="1" applyBorder="1"/>
    <xf numFmtId="10" fontId="1" fillId="0" borderId="0" xfId="0" applyNumberFormat="1" applyFont="1" applyFill="1" applyBorder="1"/>
    <xf numFmtId="165" fontId="7" fillId="0" borderId="0" xfId="1" applyFont="1"/>
    <xf numFmtId="165" fontId="5" fillId="0" borderId="0" xfId="1" applyFont="1"/>
    <xf numFmtId="43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85725</xdr:rowOff>
        </xdr:from>
        <xdr:to>
          <xdr:col>3</xdr:col>
          <xdr:colOff>104775</xdr:colOff>
          <xdr:row>4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Palatino Linotype"/>
                </a:rPr>
                <a:t>solve the equation (must be 0)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85725</xdr:rowOff>
        </xdr:from>
        <xdr:to>
          <xdr:col>3</xdr:col>
          <xdr:colOff>104775</xdr:colOff>
          <xdr:row>4</xdr:row>
          <xdr:rowOff>85725</xdr:rowOff>
        </xdr:to>
        <xdr:sp macro="" textlink="">
          <xdr:nvSpPr>
            <xdr:cNvPr id="1047" name="Knop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Palatino Linotype"/>
                </a:rPr>
                <a:t>solve the equation (must be 0)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M50"/>
  <sheetViews>
    <sheetView topLeftCell="A34" zoomScaleNormal="100" zoomScaleSheetLayoutView="100" workbookViewId="0">
      <selection activeCell="C47" sqref="C47"/>
    </sheetView>
  </sheetViews>
  <sheetFormatPr defaultRowHeight="15" x14ac:dyDescent="0.25"/>
  <cols>
    <col min="1" max="1" width="31.42578125" style="25" customWidth="1"/>
    <col min="2" max="2" width="22.42578125" style="21" customWidth="1"/>
    <col min="3" max="3" width="16.42578125" style="21" bestFit="1" customWidth="1"/>
    <col min="4" max="4" width="38.28515625" style="21" bestFit="1" customWidth="1"/>
    <col min="5" max="5" width="64" style="21" bestFit="1" customWidth="1"/>
    <col min="6" max="6" width="33.7109375" style="21" bestFit="1" customWidth="1"/>
    <col min="7" max="11" width="9.140625" style="21"/>
    <col min="12" max="12" width="17.85546875" style="21" customWidth="1"/>
    <col min="13" max="15" width="9.140625" style="21"/>
    <col min="16" max="16" width="13.42578125" style="21" customWidth="1"/>
    <col min="17" max="16384" width="9.140625" style="21"/>
  </cols>
  <sheetData>
    <row r="1" spans="1:13" s="23" customFormat="1" x14ac:dyDescent="0.25">
      <c r="A1" s="60" t="s">
        <v>9</v>
      </c>
      <c r="B1" s="20" t="s">
        <v>10</v>
      </c>
      <c r="C1" s="20" t="s">
        <v>11</v>
      </c>
      <c r="D1" s="20" t="s">
        <v>67</v>
      </c>
      <c r="E1" s="20" t="s">
        <v>71</v>
      </c>
      <c r="F1" s="20" t="s">
        <v>70</v>
      </c>
      <c r="G1" s="24"/>
      <c r="H1" s="24"/>
      <c r="I1" s="24"/>
      <c r="J1" s="24"/>
      <c r="K1" s="24"/>
      <c r="L1" s="24"/>
      <c r="M1" s="24"/>
    </row>
    <row r="2" spans="1:13" x14ac:dyDescent="0.25">
      <c r="A2" s="52" t="s">
        <v>32</v>
      </c>
      <c r="B2" s="51" t="s">
        <v>65</v>
      </c>
      <c r="C2" s="52">
        <v>53701</v>
      </c>
      <c r="D2" s="53" t="s">
        <v>68</v>
      </c>
      <c r="E2" s="53" t="s">
        <v>69</v>
      </c>
      <c r="F2" s="51"/>
      <c r="G2" s="22"/>
      <c r="H2" s="22"/>
      <c r="I2" s="22"/>
      <c r="J2" s="22"/>
      <c r="K2" s="22"/>
      <c r="L2" s="22"/>
      <c r="M2" s="22"/>
    </row>
    <row r="3" spans="1:13" x14ac:dyDescent="0.25">
      <c r="A3" s="52" t="s">
        <v>33</v>
      </c>
      <c r="B3" s="51" t="s">
        <v>65</v>
      </c>
      <c r="C3" s="52">
        <f>C2/2080</f>
        <v>25.817788461538463</v>
      </c>
      <c r="D3" s="53" t="s">
        <v>68</v>
      </c>
      <c r="E3" s="53" t="s">
        <v>69</v>
      </c>
      <c r="F3" s="51"/>
      <c r="G3" s="22"/>
      <c r="H3" s="22"/>
      <c r="I3" s="22"/>
      <c r="J3" s="22"/>
      <c r="K3" s="22"/>
      <c r="L3" s="22"/>
      <c r="M3" s="22"/>
    </row>
    <row r="4" spans="1:13" x14ac:dyDescent="0.25">
      <c r="A4" s="52" t="s">
        <v>12</v>
      </c>
      <c r="B4" s="51" t="s">
        <v>65</v>
      </c>
      <c r="C4" s="54">
        <v>6.6600000000000006E-2</v>
      </c>
      <c r="D4" s="53" t="s">
        <v>68</v>
      </c>
      <c r="E4" s="53" t="s">
        <v>69</v>
      </c>
      <c r="F4" s="51" t="s">
        <v>28</v>
      </c>
      <c r="G4" s="22"/>
      <c r="H4" s="22"/>
      <c r="I4" s="22"/>
      <c r="J4" s="22"/>
      <c r="K4" s="22"/>
      <c r="L4" s="22"/>
      <c r="M4" s="22"/>
    </row>
    <row r="5" spans="1:13" x14ac:dyDescent="0.25">
      <c r="A5" s="52" t="s">
        <v>13</v>
      </c>
      <c r="B5" s="51" t="s">
        <v>65</v>
      </c>
      <c r="C5" s="54">
        <v>7.0000000000000001E-3</v>
      </c>
      <c r="D5" s="53" t="s">
        <v>68</v>
      </c>
      <c r="E5" s="53" t="s">
        <v>69</v>
      </c>
      <c r="F5" s="51" t="s">
        <v>29</v>
      </c>
      <c r="G5" s="22"/>
      <c r="H5" s="22"/>
      <c r="I5" s="22"/>
      <c r="J5" s="22"/>
      <c r="K5" s="22"/>
      <c r="L5" s="22"/>
      <c r="M5" s="22"/>
    </row>
    <row r="6" spans="1:13" x14ac:dyDescent="0.25">
      <c r="A6" s="52" t="s">
        <v>14</v>
      </c>
      <c r="B6" s="51" t="s">
        <v>65</v>
      </c>
      <c r="C6" s="54">
        <v>1.0800000000000001E-2</v>
      </c>
      <c r="D6" s="53" t="s">
        <v>68</v>
      </c>
      <c r="E6" s="53" t="s">
        <v>69</v>
      </c>
      <c r="F6" s="51" t="s">
        <v>29</v>
      </c>
      <c r="G6" s="22"/>
      <c r="H6" s="22"/>
      <c r="I6" s="22"/>
      <c r="J6" s="22"/>
      <c r="K6" s="22"/>
      <c r="L6" s="22"/>
      <c r="M6" s="22"/>
    </row>
    <row r="7" spans="1:13" x14ac:dyDescent="0.25">
      <c r="A7" s="52" t="s">
        <v>15</v>
      </c>
      <c r="B7" s="51" t="s">
        <v>65</v>
      </c>
      <c r="C7" s="54">
        <v>2.64E-2</v>
      </c>
      <c r="D7" s="53" t="s">
        <v>68</v>
      </c>
      <c r="E7" s="53" t="s">
        <v>69</v>
      </c>
      <c r="F7" s="51" t="s">
        <v>28</v>
      </c>
      <c r="G7" s="22"/>
      <c r="H7" s="22"/>
      <c r="I7" s="22"/>
      <c r="J7" s="22"/>
      <c r="K7" s="22"/>
      <c r="L7" s="22"/>
      <c r="M7" s="22"/>
    </row>
    <row r="8" spans="1:13" x14ac:dyDescent="0.25">
      <c r="A8" s="52" t="s">
        <v>16</v>
      </c>
      <c r="B8" s="51" t="s">
        <v>65</v>
      </c>
      <c r="C8" s="54">
        <v>3.6799999999999999E-2</v>
      </c>
      <c r="D8" s="53" t="s">
        <v>68</v>
      </c>
      <c r="E8" s="53" t="s">
        <v>69</v>
      </c>
      <c r="F8" s="51" t="s">
        <v>28</v>
      </c>
      <c r="G8" s="22"/>
      <c r="H8" s="22"/>
      <c r="I8" s="22"/>
      <c r="J8" s="22"/>
      <c r="K8" s="22"/>
      <c r="L8" s="22"/>
      <c r="M8" s="22"/>
    </row>
    <row r="9" spans="1:13" x14ac:dyDescent="0.25">
      <c r="A9" s="52" t="s">
        <v>17</v>
      </c>
      <c r="B9" s="51" t="s">
        <v>65</v>
      </c>
      <c r="C9" s="54">
        <v>4.3999999999999997E-2</v>
      </c>
      <c r="D9" s="53" t="s">
        <v>68</v>
      </c>
      <c r="E9" s="53" t="s">
        <v>69</v>
      </c>
      <c r="F9" s="51" t="s">
        <v>28</v>
      </c>
      <c r="G9" s="22"/>
      <c r="H9" s="22"/>
      <c r="I9" s="22"/>
      <c r="J9" s="22"/>
      <c r="K9" s="22"/>
      <c r="L9" s="22"/>
      <c r="M9" s="22"/>
    </row>
    <row r="10" spans="1:13" x14ac:dyDescent="0.25">
      <c r="A10" s="52" t="s">
        <v>18</v>
      </c>
      <c r="B10" s="51" t="s">
        <v>65</v>
      </c>
      <c r="C10" s="54">
        <v>3.9399999999999998E-2</v>
      </c>
      <c r="D10" s="53" t="s">
        <v>68</v>
      </c>
      <c r="E10" s="53" t="s">
        <v>69</v>
      </c>
      <c r="F10" s="51" t="s">
        <v>28</v>
      </c>
      <c r="G10" s="22"/>
      <c r="H10" s="22"/>
      <c r="I10" s="22"/>
      <c r="J10" s="22"/>
      <c r="K10" s="22"/>
      <c r="L10" s="22"/>
      <c r="M10" s="22"/>
    </row>
    <row r="11" spans="1:13" x14ac:dyDescent="0.25">
      <c r="A11" s="52" t="s">
        <v>19</v>
      </c>
      <c r="B11" s="51" t="s">
        <v>65</v>
      </c>
      <c r="C11" s="54">
        <v>5.7000000000000002E-3</v>
      </c>
      <c r="D11" s="53" t="s">
        <v>68</v>
      </c>
      <c r="E11" s="53" t="s">
        <v>69</v>
      </c>
      <c r="F11" s="51" t="s">
        <v>28</v>
      </c>
      <c r="K11" s="22"/>
    </row>
    <row r="12" spans="1:13" x14ac:dyDescent="0.25">
      <c r="A12" s="52" t="s">
        <v>20</v>
      </c>
      <c r="B12" s="51" t="s">
        <v>65</v>
      </c>
      <c r="C12" s="54">
        <v>6.6500000000000004E-2</v>
      </c>
      <c r="D12" s="53" t="s">
        <v>68</v>
      </c>
      <c r="E12" s="53" t="s">
        <v>69</v>
      </c>
      <c r="F12" s="51" t="s">
        <v>28</v>
      </c>
    </row>
    <row r="13" spans="1:13" x14ac:dyDescent="0.25">
      <c r="A13" s="52" t="s">
        <v>40</v>
      </c>
      <c r="B13" s="51" t="s">
        <v>65</v>
      </c>
      <c r="C13" s="52">
        <v>260</v>
      </c>
      <c r="D13" s="53" t="s">
        <v>68</v>
      </c>
      <c r="E13" s="53" t="s">
        <v>69</v>
      </c>
      <c r="F13" s="51"/>
    </row>
    <row r="14" spans="1:13" x14ac:dyDescent="0.25">
      <c r="A14" s="52" t="s">
        <v>41</v>
      </c>
      <c r="B14" s="51" t="s">
        <v>65</v>
      </c>
      <c r="C14" s="52">
        <v>20</v>
      </c>
      <c r="D14" s="53" t="s">
        <v>68</v>
      </c>
      <c r="E14" s="53" t="s">
        <v>69</v>
      </c>
      <c r="F14" s="51"/>
    </row>
    <row r="15" spans="1:13" x14ac:dyDescent="0.25">
      <c r="A15" s="52" t="s">
        <v>21</v>
      </c>
      <c r="B15" s="51" t="s">
        <v>65</v>
      </c>
      <c r="C15" s="52">
        <v>6</v>
      </c>
      <c r="D15" s="53" t="s">
        <v>68</v>
      </c>
      <c r="E15" s="53" t="s">
        <v>69</v>
      </c>
      <c r="F15" s="51"/>
    </row>
    <row r="16" spans="1:13" x14ac:dyDescent="0.25">
      <c r="A16" s="52" t="s">
        <v>42</v>
      </c>
      <c r="B16" s="51" t="s">
        <v>65</v>
      </c>
      <c r="C16" s="52">
        <v>4</v>
      </c>
      <c r="D16" s="53" t="s">
        <v>68</v>
      </c>
      <c r="E16" s="53" t="s">
        <v>69</v>
      </c>
      <c r="F16" s="51"/>
    </row>
    <row r="17" spans="1:6" s="45" customFormat="1" x14ac:dyDescent="0.25">
      <c r="A17" s="52" t="s">
        <v>60</v>
      </c>
      <c r="B17" s="51" t="s">
        <v>62</v>
      </c>
      <c r="C17" s="52">
        <v>0</v>
      </c>
      <c r="D17" s="53" t="s">
        <v>68</v>
      </c>
      <c r="E17" s="53" t="s">
        <v>69</v>
      </c>
      <c r="F17" s="51"/>
    </row>
    <row r="18" spans="1:6" s="45" customFormat="1" x14ac:dyDescent="0.25">
      <c r="A18" s="52" t="s">
        <v>63</v>
      </c>
      <c r="B18" s="51" t="s">
        <v>62</v>
      </c>
      <c r="C18" s="54">
        <f>C14/(C13-C14-C15-C16-C17)</f>
        <v>8.6956521739130432E-2</v>
      </c>
      <c r="D18" s="53" t="s">
        <v>68</v>
      </c>
      <c r="E18" s="53" t="s">
        <v>69</v>
      </c>
      <c r="F18" s="51" t="s">
        <v>29</v>
      </c>
    </row>
    <row r="19" spans="1:6" s="45" customFormat="1" x14ac:dyDescent="0.25">
      <c r="A19" s="52" t="s">
        <v>22</v>
      </c>
      <c r="B19" s="51" t="s">
        <v>62</v>
      </c>
      <c r="C19" s="54">
        <f>C16/(C13-C14-C15-C16-C17)</f>
        <v>1.7391304347826087E-2</v>
      </c>
      <c r="D19" s="53" t="s">
        <v>68</v>
      </c>
      <c r="E19" s="53" t="s">
        <v>69</v>
      </c>
      <c r="F19" s="51" t="s">
        <v>29</v>
      </c>
    </row>
    <row r="20" spans="1:6" s="45" customFormat="1" x14ac:dyDescent="0.25">
      <c r="A20" s="52" t="s">
        <v>64</v>
      </c>
      <c r="B20" s="51" t="s">
        <v>62</v>
      </c>
      <c r="C20" s="54">
        <f>C15/(C13-C14-C15-C16-C17)</f>
        <v>2.6086956521739129E-2</v>
      </c>
      <c r="D20" s="53" t="s">
        <v>68</v>
      </c>
      <c r="E20" s="53" t="s">
        <v>69</v>
      </c>
      <c r="F20" s="51" t="s">
        <v>29</v>
      </c>
    </row>
    <row r="21" spans="1:6" x14ac:dyDescent="0.25">
      <c r="A21" s="52" t="s">
        <v>23</v>
      </c>
      <c r="B21" s="51" t="s">
        <v>65</v>
      </c>
      <c r="C21" s="54">
        <v>6.0000000000000001E-3</v>
      </c>
      <c r="D21" s="53" t="s">
        <v>68</v>
      </c>
      <c r="E21" s="53" t="s">
        <v>69</v>
      </c>
      <c r="F21" s="51" t="s">
        <v>29</v>
      </c>
    </row>
    <row r="22" spans="1:6" s="45" customFormat="1" x14ac:dyDescent="0.25">
      <c r="A22" s="52" t="s">
        <v>43</v>
      </c>
      <c r="B22" s="51" t="s">
        <v>62</v>
      </c>
      <c r="C22" s="54">
        <f>C17/(C13-C14-C15-C16-C17)</f>
        <v>0</v>
      </c>
      <c r="D22" s="53" t="s">
        <v>68</v>
      </c>
      <c r="E22" s="53" t="s">
        <v>69</v>
      </c>
      <c r="F22" s="51" t="s">
        <v>29</v>
      </c>
    </row>
    <row r="23" spans="1:6" x14ac:dyDescent="0.25">
      <c r="A23" s="52" t="s">
        <v>24</v>
      </c>
      <c r="B23" s="51" t="s">
        <v>65</v>
      </c>
      <c r="C23" s="54">
        <v>0.08</v>
      </c>
      <c r="D23" s="53" t="s">
        <v>68</v>
      </c>
      <c r="E23" s="53" t="s">
        <v>69</v>
      </c>
      <c r="F23" s="51" t="s">
        <v>29</v>
      </c>
    </row>
    <row r="24" spans="1:6" x14ac:dyDescent="0.25">
      <c r="A24" s="52" t="s">
        <v>25</v>
      </c>
      <c r="B24" s="51" t="s">
        <v>65</v>
      </c>
      <c r="C24" s="54">
        <v>1.0200000000000001E-2</v>
      </c>
      <c r="D24" s="53" t="s">
        <v>68</v>
      </c>
      <c r="E24" s="53" t="s">
        <v>69</v>
      </c>
      <c r="F24" s="51" t="s">
        <v>29</v>
      </c>
    </row>
    <row r="25" spans="1:6" x14ac:dyDescent="0.25">
      <c r="A25" s="52" t="s">
        <v>27</v>
      </c>
      <c r="B25" s="51" t="s">
        <v>65</v>
      </c>
      <c r="C25" s="54">
        <v>7.1000000000000004E-3</v>
      </c>
      <c r="D25" s="53" t="s">
        <v>68</v>
      </c>
      <c r="E25" s="53" t="s">
        <v>69</v>
      </c>
      <c r="F25" s="51" t="s">
        <v>29</v>
      </c>
    </row>
    <row r="26" spans="1:6" x14ac:dyDescent="0.25">
      <c r="A26" s="52" t="s">
        <v>26</v>
      </c>
      <c r="B26" s="51" t="s">
        <v>65</v>
      </c>
      <c r="C26" s="54">
        <v>1.1599999999999999E-2</v>
      </c>
      <c r="D26" s="53" t="s">
        <v>68</v>
      </c>
      <c r="E26" s="53" t="s">
        <v>69</v>
      </c>
      <c r="F26" s="51" t="s">
        <v>29</v>
      </c>
    </row>
    <row r="27" spans="1:6" x14ac:dyDescent="0.25">
      <c r="A27" s="52" t="s">
        <v>38</v>
      </c>
      <c r="B27" s="51" t="s">
        <v>65</v>
      </c>
      <c r="C27" s="51">
        <v>28.69</v>
      </c>
      <c r="D27" s="53" t="s">
        <v>68</v>
      </c>
      <c r="E27" s="53" t="s">
        <v>69</v>
      </c>
      <c r="F27" s="51"/>
    </row>
    <row r="28" spans="1:6" x14ac:dyDescent="0.25">
      <c r="A28" s="52" t="s">
        <v>39</v>
      </c>
      <c r="B28" s="51" t="s">
        <v>65</v>
      </c>
      <c r="C28" s="51">
        <v>6.32</v>
      </c>
      <c r="D28" s="53" t="s">
        <v>68</v>
      </c>
      <c r="E28" s="53" t="s">
        <v>69</v>
      </c>
      <c r="F28" s="51"/>
    </row>
    <row r="29" spans="1:6" x14ac:dyDescent="0.25">
      <c r="A29" s="52" t="s">
        <v>34</v>
      </c>
      <c r="B29" s="51" t="s">
        <v>65</v>
      </c>
      <c r="C29" s="54">
        <v>2.5999999999999999E-2</v>
      </c>
      <c r="D29" s="53" t="s">
        <v>68</v>
      </c>
      <c r="E29" s="53" t="s">
        <v>69</v>
      </c>
      <c r="F29" s="51" t="s">
        <v>29</v>
      </c>
    </row>
    <row r="30" spans="1:6" x14ac:dyDescent="0.25">
      <c r="A30" s="52" t="s">
        <v>35</v>
      </c>
      <c r="B30" s="51" t="s">
        <v>65</v>
      </c>
      <c r="C30" s="54">
        <v>0</v>
      </c>
      <c r="D30" s="53" t="s">
        <v>68</v>
      </c>
      <c r="E30" s="53" t="s">
        <v>69</v>
      </c>
      <c r="F30" s="51" t="s">
        <v>29</v>
      </c>
    </row>
    <row r="31" spans="1:6" x14ac:dyDescent="0.25">
      <c r="A31" s="52" t="s">
        <v>36</v>
      </c>
      <c r="B31" s="51" t="s">
        <v>65</v>
      </c>
      <c r="C31" s="54">
        <v>0.08</v>
      </c>
      <c r="D31" s="53" t="s">
        <v>68</v>
      </c>
      <c r="E31" s="53" t="s">
        <v>69</v>
      </c>
      <c r="F31" s="51" t="s">
        <v>29</v>
      </c>
    </row>
    <row r="32" spans="1:6" x14ac:dyDescent="0.25">
      <c r="A32" s="52" t="s">
        <v>37</v>
      </c>
      <c r="B32" s="51" t="s">
        <v>65</v>
      </c>
      <c r="C32" s="55">
        <v>0.04</v>
      </c>
      <c r="D32" s="53" t="s">
        <v>68</v>
      </c>
      <c r="E32" s="53" t="s">
        <v>69</v>
      </c>
      <c r="F32" s="51" t="s">
        <v>29</v>
      </c>
    </row>
    <row r="33" spans="1:6" x14ac:dyDescent="0.25">
      <c r="A33" s="25" t="s">
        <v>73</v>
      </c>
      <c r="B33" s="51" t="s">
        <v>65</v>
      </c>
      <c r="C33" s="49">
        <v>0.194246</v>
      </c>
      <c r="D33" s="53" t="s">
        <v>68</v>
      </c>
      <c r="E33" s="53" t="s">
        <v>69</v>
      </c>
      <c r="F33" s="51"/>
    </row>
    <row r="34" spans="1:6" x14ac:dyDescent="0.25">
      <c r="A34" s="25" t="s">
        <v>74</v>
      </c>
      <c r="B34" s="51" t="s">
        <v>65</v>
      </c>
      <c r="C34" s="49">
        <v>0.11125400000000001</v>
      </c>
      <c r="D34" s="53" t="s">
        <v>68</v>
      </c>
      <c r="E34" s="53" t="s">
        <v>69</v>
      </c>
      <c r="F34" s="51"/>
    </row>
    <row r="35" spans="1:6" x14ac:dyDescent="0.25">
      <c r="A35" s="25" t="s">
        <v>75</v>
      </c>
      <c r="B35" s="51" t="s">
        <v>65</v>
      </c>
      <c r="C35" s="49">
        <v>2.5000000000000001E-3</v>
      </c>
      <c r="D35" s="53" t="s">
        <v>68</v>
      </c>
      <c r="E35" s="53" t="s">
        <v>69</v>
      </c>
      <c r="F35" s="51"/>
    </row>
    <row r="36" spans="1:6" x14ac:dyDescent="0.25">
      <c r="A36" s="25" t="s">
        <v>76</v>
      </c>
      <c r="B36" s="51" t="s">
        <v>65</v>
      </c>
      <c r="C36" s="49">
        <v>1.25E-3</v>
      </c>
      <c r="D36" s="53" t="s">
        <v>68</v>
      </c>
      <c r="E36" s="53" t="s">
        <v>69</v>
      </c>
      <c r="F36" s="51"/>
    </row>
    <row r="37" spans="1:6" x14ac:dyDescent="0.25">
      <c r="A37" s="25" t="s">
        <v>77</v>
      </c>
      <c r="B37" s="51" t="s">
        <v>65</v>
      </c>
      <c r="C37" s="25">
        <f>58405.08/2080</f>
        <v>28.079365384615386</v>
      </c>
      <c r="D37" s="53" t="s">
        <v>68</v>
      </c>
      <c r="E37" s="53" t="s">
        <v>69</v>
      </c>
      <c r="F37" s="51"/>
    </row>
    <row r="38" spans="1:6" x14ac:dyDescent="0.25">
      <c r="A38" s="25" t="s">
        <v>78</v>
      </c>
      <c r="B38" s="51" t="s">
        <v>65</v>
      </c>
      <c r="C38" s="25">
        <f>13122.88/2080</f>
        <v>6.3090769230769226</v>
      </c>
      <c r="D38" s="53" t="s">
        <v>68</v>
      </c>
      <c r="E38" s="53" t="s">
        <v>69</v>
      </c>
      <c r="F38" s="51"/>
    </row>
    <row r="39" spans="1:6" x14ac:dyDescent="0.25">
      <c r="A39" s="25" t="s">
        <v>79</v>
      </c>
      <c r="B39" s="51" t="s">
        <v>65</v>
      </c>
      <c r="C39" s="25">
        <v>1.08</v>
      </c>
      <c r="D39" s="53" t="s">
        <v>68</v>
      </c>
      <c r="E39" s="53" t="s">
        <v>69</v>
      </c>
      <c r="F39" s="51"/>
    </row>
    <row r="40" spans="1:6" x14ac:dyDescent="0.25">
      <c r="A40" s="25" t="s">
        <v>80</v>
      </c>
      <c r="B40" s="51" t="s">
        <v>65</v>
      </c>
      <c r="C40" s="49">
        <v>0.13744799999999999</v>
      </c>
      <c r="D40" s="53" t="s">
        <v>68</v>
      </c>
      <c r="E40" s="53" t="s">
        <v>69</v>
      </c>
      <c r="F40" s="51"/>
    </row>
    <row r="41" spans="1:6" x14ac:dyDescent="0.25">
      <c r="A41" s="25" t="s">
        <v>81</v>
      </c>
      <c r="B41" s="51" t="s">
        <v>65</v>
      </c>
      <c r="C41" s="49">
        <v>9.3352000000000004E-2</v>
      </c>
      <c r="D41" s="53" t="s">
        <v>68</v>
      </c>
      <c r="E41" s="53" t="s">
        <v>69</v>
      </c>
      <c r="F41" s="51"/>
    </row>
    <row r="42" spans="1:6" x14ac:dyDescent="0.25">
      <c r="A42" s="25" t="s">
        <v>82</v>
      </c>
      <c r="B42" s="51" t="s">
        <v>65</v>
      </c>
      <c r="C42" s="49">
        <v>6.0000000000000001E-3</v>
      </c>
      <c r="D42" s="53" t="s">
        <v>68</v>
      </c>
      <c r="E42" s="53" t="s">
        <v>69</v>
      </c>
      <c r="F42" s="51"/>
    </row>
    <row r="43" spans="1:6" x14ac:dyDescent="0.25">
      <c r="A43" s="25" t="s">
        <v>83</v>
      </c>
      <c r="B43" s="51" t="s">
        <v>65</v>
      </c>
      <c r="C43" s="49">
        <v>6.0000000000000001E-3</v>
      </c>
      <c r="D43" s="53" t="s">
        <v>68</v>
      </c>
      <c r="E43" s="53" t="s">
        <v>69</v>
      </c>
      <c r="F43" s="51"/>
    </row>
    <row r="44" spans="1:6" s="46" customFormat="1" x14ac:dyDescent="0.25">
      <c r="A44" s="52" t="s">
        <v>58</v>
      </c>
      <c r="B44" s="51" t="s">
        <v>55</v>
      </c>
      <c r="C44" s="56">
        <v>1</v>
      </c>
      <c r="D44" s="53" t="s">
        <v>68</v>
      </c>
      <c r="E44" s="51"/>
      <c r="F44" s="51"/>
    </row>
    <row r="45" spans="1:6" s="46" customFormat="1" x14ac:dyDescent="0.25">
      <c r="A45" s="52" t="s">
        <v>56</v>
      </c>
      <c r="B45" s="51" t="s">
        <v>55</v>
      </c>
      <c r="C45" s="57" t="s">
        <v>61</v>
      </c>
      <c r="D45" s="53" t="s">
        <v>68</v>
      </c>
      <c r="E45" s="51"/>
      <c r="F45" s="51"/>
    </row>
    <row r="46" spans="1:6" s="46" customFormat="1" x14ac:dyDescent="0.25">
      <c r="A46" s="52" t="s">
        <v>88</v>
      </c>
      <c r="B46" s="51" t="s">
        <v>55</v>
      </c>
      <c r="C46" s="58">
        <v>30</v>
      </c>
      <c r="D46" s="51" t="s">
        <v>72</v>
      </c>
      <c r="E46" s="51"/>
      <c r="F46" s="51"/>
    </row>
    <row r="47" spans="1:6" s="46" customFormat="1" x14ac:dyDescent="0.25">
      <c r="A47" s="52" t="s">
        <v>59</v>
      </c>
      <c r="B47" s="51" t="s">
        <v>55</v>
      </c>
      <c r="C47" s="59">
        <v>0.05</v>
      </c>
      <c r="D47" s="53" t="s">
        <v>68</v>
      </c>
      <c r="E47" s="51"/>
      <c r="F47" s="51"/>
    </row>
    <row r="48" spans="1:6" x14ac:dyDescent="0.25">
      <c r="A48" s="52" t="s">
        <v>91</v>
      </c>
      <c r="B48" s="51" t="s">
        <v>55</v>
      </c>
      <c r="C48" s="21">
        <v>15</v>
      </c>
      <c r="D48" s="53" t="s">
        <v>68</v>
      </c>
    </row>
    <row r="49" spans="1:4" x14ac:dyDescent="0.25">
      <c r="A49" s="25" t="s">
        <v>92</v>
      </c>
      <c r="B49" s="51" t="s">
        <v>55</v>
      </c>
      <c r="C49" s="21">
        <v>15</v>
      </c>
      <c r="D49" s="53" t="s">
        <v>68</v>
      </c>
    </row>
    <row r="50" spans="1:4" x14ac:dyDescent="0.25">
      <c r="A50" s="25" t="s">
        <v>93</v>
      </c>
      <c r="B50" s="51" t="s">
        <v>55</v>
      </c>
      <c r="C50" s="21">
        <v>15</v>
      </c>
      <c r="D50" s="53" t="s">
        <v>68</v>
      </c>
    </row>
  </sheetData>
  <autoFilter ref="A1:Q47"/>
  <phoneticPr fontId="4" type="noConversion"/>
  <dataValidations count="1">
    <dataValidation type="list" allowBlank="1" showInputMessage="1" showErrorMessage="1" sqref="C45">
      <formula1>"Geen,Basis,Plus,Bouw,UTA"</formula1>
    </dataValidation>
  </dataValidations>
  <pageMargins left="0.39" right="0.34" top="0.98425196850393704" bottom="0.98425196850393704" header="0.51181102362204722" footer="0.51181102362204722"/>
  <pageSetup paperSize="9" scale="87" orientation="landscape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B1:Q73"/>
  <sheetViews>
    <sheetView zoomScale="72" workbookViewId="0">
      <selection activeCell="E14" sqref="E14"/>
    </sheetView>
  </sheetViews>
  <sheetFormatPr defaultRowHeight="15" x14ac:dyDescent="0.3"/>
  <cols>
    <col min="1" max="1" width="5.7109375" customWidth="1"/>
    <col min="2" max="2" width="3.140625" customWidth="1"/>
    <col min="3" max="3" width="30.7109375" customWidth="1"/>
    <col min="4" max="4" width="24.5703125" customWidth="1"/>
    <col min="5" max="5" width="14.140625" customWidth="1"/>
    <col min="6" max="6" width="11.7109375" customWidth="1"/>
    <col min="7" max="7" width="3.140625" customWidth="1"/>
    <col min="8" max="9" width="11" customWidth="1"/>
    <col min="10" max="10" width="25.28515625" customWidth="1"/>
    <col min="11" max="11" width="7.42578125" customWidth="1"/>
    <col min="12" max="12" width="20.7109375" customWidth="1"/>
    <col min="13" max="13" width="24.5703125" customWidth="1"/>
    <col min="14" max="14" width="30.7109375" customWidth="1"/>
    <col min="15" max="16" width="13.85546875" customWidth="1"/>
  </cols>
  <sheetData>
    <row r="1" spans="2:15" ht="16.5" thickBot="1" x14ac:dyDescent="0.35">
      <c r="J1" s="20"/>
      <c r="K1" s="40"/>
      <c r="L1" s="20"/>
      <c r="M1" s="40"/>
      <c r="N1" s="40"/>
    </row>
    <row r="2" spans="2:15" x14ac:dyDescent="0.3">
      <c r="B2" s="7"/>
      <c r="C2" s="8"/>
      <c r="D2" s="8"/>
      <c r="E2" s="8"/>
      <c r="F2" s="8"/>
      <c r="G2" s="9"/>
    </row>
    <row r="3" spans="2:15" x14ac:dyDescent="0.3">
      <c r="B3" s="10"/>
      <c r="C3" s="11"/>
      <c r="D3" s="11"/>
      <c r="E3" s="11"/>
      <c r="G3" s="12"/>
      <c r="N3" s="6"/>
    </row>
    <row r="4" spans="2:15" x14ac:dyDescent="0.3">
      <c r="B4" s="10"/>
      <c r="C4" s="13"/>
      <c r="E4" s="43">
        <f>F37-(E6-E8-F24-F30-F35)</f>
        <v>0</v>
      </c>
      <c r="F4" s="11"/>
      <c r="G4" s="12"/>
      <c r="J4" s="2"/>
      <c r="K4" s="2"/>
      <c r="L4" s="2"/>
      <c r="N4" s="6"/>
    </row>
    <row r="5" spans="2:15" x14ac:dyDescent="0.3">
      <c r="B5" s="10"/>
      <c r="C5" s="11"/>
      <c r="D5" s="11"/>
      <c r="E5" s="11"/>
      <c r="F5" s="11"/>
      <c r="G5" s="12"/>
      <c r="H5" s="3"/>
      <c r="I5" s="3"/>
      <c r="J5" s="3"/>
      <c r="K5" s="3"/>
      <c r="N5" s="4"/>
      <c r="O5" s="3"/>
    </row>
    <row r="6" spans="2:15" x14ac:dyDescent="0.3">
      <c r="B6" s="10"/>
      <c r="C6" s="11" t="s">
        <v>89</v>
      </c>
      <c r="D6" s="11"/>
      <c r="E6" s="15">
        <v>24.980355075683839</v>
      </c>
      <c r="F6" s="11"/>
      <c r="G6" s="12"/>
      <c r="H6" s="3"/>
      <c r="I6" s="3"/>
      <c r="J6" s="3"/>
      <c r="K6" s="3"/>
      <c r="N6" s="4"/>
      <c r="O6" s="3"/>
    </row>
    <row r="7" spans="2:15" x14ac:dyDescent="0.3">
      <c r="B7" s="10"/>
      <c r="C7" s="11"/>
      <c r="D7" s="11"/>
      <c r="E7" s="15"/>
      <c r="F7" s="11"/>
      <c r="G7" s="12"/>
      <c r="H7" s="3"/>
      <c r="I7" s="3"/>
      <c r="J7" s="3"/>
      <c r="K7" s="3"/>
      <c r="N7" s="4"/>
      <c r="O7" s="3"/>
    </row>
    <row r="8" spans="2:15" x14ac:dyDescent="0.3">
      <c r="B8" s="19" t="s">
        <v>8</v>
      </c>
      <c r="C8" s="13" t="s">
        <v>66</v>
      </c>
      <c r="E8" s="15">
        <f>MAX(Input!C46*Input!C47,1)</f>
        <v>1.5</v>
      </c>
      <c r="F8" s="11"/>
      <c r="G8" s="12"/>
      <c r="J8" s="2"/>
      <c r="K8" s="2"/>
      <c r="L8" s="2"/>
    </row>
    <row r="9" spans="2:15" x14ac:dyDescent="0.3">
      <c r="B9" s="19" t="s">
        <v>8</v>
      </c>
      <c r="C9" s="11" t="s">
        <v>6</v>
      </c>
      <c r="D9" s="42"/>
      <c r="E9" s="47">
        <f>F33</f>
        <v>0.31749311834782606</v>
      </c>
      <c r="F9" s="11"/>
      <c r="G9" s="12"/>
      <c r="H9" s="3"/>
      <c r="I9" s="3"/>
    </row>
    <row r="10" spans="2:15" x14ac:dyDescent="0.3">
      <c r="B10" s="19" t="s">
        <v>8</v>
      </c>
      <c r="C10" s="11" t="s">
        <v>5</v>
      </c>
      <c r="D10" s="42"/>
      <c r="E10" s="47">
        <f>F22+F23</f>
        <v>4.6315881747273142</v>
      </c>
      <c r="F10" s="11"/>
      <c r="G10" s="12"/>
    </row>
    <row r="11" spans="2:15" x14ac:dyDescent="0.3">
      <c r="B11" s="10"/>
      <c r="C11" s="11"/>
      <c r="D11" s="42"/>
      <c r="E11" s="47"/>
      <c r="F11" s="11"/>
      <c r="G11" s="12"/>
    </row>
    <row r="12" spans="2:15" x14ac:dyDescent="0.3">
      <c r="B12" s="10"/>
      <c r="C12" s="26" t="s">
        <v>47</v>
      </c>
      <c r="D12" s="42"/>
      <c r="E12" s="47">
        <f>E6-SUM(E8:E10)</f>
        <v>18.5312737826087</v>
      </c>
      <c r="F12" s="11"/>
      <c r="G12" s="12"/>
      <c r="J12" s="3"/>
      <c r="O12" s="43"/>
    </row>
    <row r="13" spans="2:15" x14ac:dyDescent="0.3">
      <c r="B13" s="10"/>
      <c r="C13" s="11"/>
      <c r="D13" s="42"/>
      <c r="E13" s="47"/>
      <c r="F13" s="11"/>
      <c r="G13" s="12"/>
      <c r="O13" s="43"/>
    </row>
    <row r="14" spans="2:15" x14ac:dyDescent="0.3">
      <c r="B14" s="10"/>
      <c r="C14" s="6" t="s">
        <v>90</v>
      </c>
      <c r="D14" s="42"/>
      <c r="E14" s="47">
        <f>F37</f>
        <v>15</v>
      </c>
      <c r="F14" s="14"/>
      <c r="G14" s="12"/>
      <c r="H14" s="3"/>
      <c r="I14" s="6"/>
      <c r="J14" s="6"/>
      <c r="K14" s="2"/>
      <c r="L14" s="2"/>
      <c r="M14" s="41"/>
      <c r="N14" s="42"/>
      <c r="O14" s="43"/>
    </row>
    <row r="15" spans="2:15" x14ac:dyDescent="0.3">
      <c r="B15" s="10"/>
      <c r="C15" s="13" t="s">
        <v>48</v>
      </c>
      <c r="D15" s="42"/>
      <c r="E15" s="47">
        <f>F39-E14</f>
        <v>3.5312737826086966</v>
      </c>
      <c r="F15" s="11"/>
      <c r="G15" s="12"/>
      <c r="H15" s="3"/>
      <c r="I15" s="3"/>
      <c r="J15" s="3"/>
      <c r="K15" s="3"/>
      <c r="L15" s="3"/>
      <c r="O15" s="43"/>
    </row>
    <row r="16" spans="2:15" x14ac:dyDescent="0.3">
      <c r="B16" s="10"/>
      <c r="C16" s="11"/>
      <c r="D16" s="42"/>
      <c r="E16" s="47"/>
      <c r="F16" s="11"/>
      <c r="G16" s="12"/>
      <c r="O16" s="43"/>
    </row>
    <row r="17" spans="2:17" x14ac:dyDescent="0.3">
      <c r="B17" s="10"/>
      <c r="C17" s="2" t="s">
        <v>57</v>
      </c>
      <c r="D17" s="42"/>
      <c r="E17" s="47">
        <f>E6/E14</f>
        <v>1.6653570050455893</v>
      </c>
      <c r="F17" s="11"/>
      <c r="G17" s="12"/>
      <c r="I17" s="6"/>
      <c r="J17" s="2"/>
      <c r="K17" s="2"/>
      <c r="M17" s="41"/>
      <c r="N17" s="42"/>
    </row>
    <row r="18" spans="2:17" ht="15.75" thickBot="1" x14ac:dyDescent="0.35">
      <c r="B18" s="16"/>
      <c r="C18" s="17"/>
      <c r="D18" s="17"/>
      <c r="E18" s="17"/>
      <c r="F18" s="17"/>
      <c r="G18" s="18"/>
    </row>
    <row r="19" spans="2:17" ht="15.75" thickBot="1" x14ac:dyDescent="0.35"/>
    <row r="20" spans="2:17" x14ac:dyDescent="0.3">
      <c r="B20" s="7"/>
      <c r="C20" s="31"/>
      <c r="D20" s="8"/>
      <c r="E20" s="32"/>
      <c r="F20" s="8"/>
      <c r="G20" s="9"/>
    </row>
    <row r="21" spans="2:17" x14ac:dyDescent="0.3">
      <c r="B21" s="10"/>
      <c r="C21" s="27" t="s">
        <v>5</v>
      </c>
      <c r="D21" s="27" t="s">
        <v>0</v>
      </c>
      <c r="E21" s="27" t="s">
        <v>1</v>
      </c>
      <c r="F21" s="27" t="s">
        <v>2</v>
      </c>
      <c r="G21" s="12"/>
    </row>
    <row r="22" spans="2:17" x14ac:dyDescent="0.3">
      <c r="B22" s="10"/>
      <c r="C22" s="13" t="s">
        <v>30</v>
      </c>
      <c r="D22" s="13" t="s">
        <v>54</v>
      </c>
      <c r="E22" s="33">
        <f>IF(Input!C44=1,Input!C4+Input!C7+Input!C8+Input!C10+Input!C11+Input!C12,Input!C4+Input!C7+Input!C9+Input!C10+Input!C11+Input!C12)</f>
        <v>0.2414</v>
      </c>
      <c r="F22" s="14">
        <f>E22*F$44</f>
        <v>4.4425691821447053</v>
      </c>
      <c r="G22" s="12"/>
      <c r="H22" s="1"/>
      <c r="I22" s="1"/>
      <c r="J22" s="1"/>
      <c r="K22" s="1"/>
    </row>
    <row r="23" spans="2:17" x14ac:dyDescent="0.3">
      <c r="B23" s="10"/>
      <c r="C23" s="13" t="s">
        <v>31</v>
      </c>
      <c r="D23" s="13" t="s">
        <v>4</v>
      </c>
      <c r="E23" s="33">
        <v>1.0200000000000001E-2</v>
      </c>
      <c r="F23" s="14">
        <f>E23*F$39</f>
        <v>0.18901899258260871</v>
      </c>
      <c r="G23" s="12"/>
      <c r="H23" s="1"/>
      <c r="I23" s="1"/>
      <c r="J23" s="1"/>
      <c r="K23" s="1"/>
    </row>
    <row r="24" spans="2:17" x14ac:dyDescent="0.3">
      <c r="B24" s="10"/>
      <c r="C24" s="29" t="s">
        <v>51</v>
      </c>
      <c r="D24" s="29"/>
      <c r="E24" s="34"/>
      <c r="F24" s="35">
        <f>SUM(F22:F23)</f>
        <v>4.6315881747273142</v>
      </c>
      <c r="G24" s="12"/>
      <c r="H24" s="1"/>
      <c r="I24" s="1"/>
      <c r="J24" s="1"/>
      <c r="K24" s="1"/>
    </row>
    <row r="25" spans="2:17" x14ac:dyDescent="0.3">
      <c r="B25" s="10"/>
      <c r="C25" s="13"/>
      <c r="D25" s="13"/>
      <c r="E25" s="33"/>
      <c r="F25" s="14"/>
      <c r="G25" s="12"/>
      <c r="H25" s="1"/>
      <c r="I25" s="1"/>
      <c r="J25" s="1"/>
      <c r="K25" s="1"/>
      <c r="N25" s="2"/>
      <c r="O25" s="2"/>
    </row>
    <row r="26" spans="2:17" x14ac:dyDescent="0.3">
      <c r="B26" s="10"/>
      <c r="C26" s="27" t="s">
        <v>48</v>
      </c>
      <c r="D26" s="27" t="s">
        <v>0</v>
      </c>
      <c r="E26" s="27" t="s">
        <v>1</v>
      </c>
      <c r="F26" s="27" t="s">
        <v>2</v>
      </c>
      <c r="G26" s="12"/>
      <c r="H26" s="1"/>
      <c r="I26" s="1"/>
      <c r="J26" s="1"/>
      <c r="K26" s="1"/>
      <c r="M26" s="2"/>
    </row>
    <row r="27" spans="2:17" x14ac:dyDescent="0.3">
      <c r="B27" s="10"/>
      <c r="C27" s="13" t="s">
        <v>45</v>
      </c>
      <c r="D27" s="13" t="s">
        <v>3</v>
      </c>
      <c r="E27" s="33">
        <f>IF(Input!C44=1,Input!C18+Input!C19+Input!C20+Input!C21+Input!C22,Input!C18+Input!C19+Input!C20+Input!C21+Input!C22)</f>
        <v>0.13643478260869565</v>
      </c>
      <c r="F27" s="14">
        <f>E27*F$37</f>
        <v>2.0465217391304349</v>
      </c>
      <c r="G27" s="12"/>
      <c r="H27" s="1"/>
      <c r="I27" s="1"/>
      <c r="J27" s="43"/>
      <c r="K27" s="1"/>
      <c r="M27" s="2"/>
    </row>
    <row r="28" spans="2:17" x14ac:dyDescent="0.3">
      <c r="B28" s="10"/>
      <c r="C28" s="13" t="s">
        <v>46</v>
      </c>
      <c r="D28" s="13" t="s">
        <v>49</v>
      </c>
      <c r="E28" s="33">
        <f>IF(Input!C44=1,Input!C25,Input!C26)</f>
        <v>7.1000000000000004E-3</v>
      </c>
      <c r="F28" s="14">
        <f>E28*(F$37+F27)</f>
        <v>0.12103030434782608</v>
      </c>
      <c r="G28" s="12"/>
      <c r="H28" s="1"/>
      <c r="I28" s="1"/>
      <c r="J28" s="43"/>
      <c r="K28" s="1"/>
      <c r="M28" s="2"/>
    </row>
    <row r="29" spans="2:17" x14ac:dyDescent="0.3">
      <c r="B29" s="10"/>
      <c r="C29" s="13" t="s">
        <v>44</v>
      </c>
      <c r="D29" s="13" t="s">
        <v>49</v>
      </c>
      <c r="E29" s="33">
        <f>Input!C23</f>
        <v>0.08</v>
      </c>
      <c r="F29" s="14">
        <f>E29*(F37+F27)</f>
        <v>1.3637217391304348</v>
      </c>
      <c r="G29" s="12"/>
      <c r="H29" s="1"/>
      <c r="I29" s="1"/>
      <c r="J29" s="1"/>
      <c r="K29" s="1"/>
    </row>
    <row r="30" spans="2:17" x14ac:dyDescent="0.3">
      <c r="B30" s="10"/>
      <c r="C30" s="29" t="s">
        <v>52</v>
      </c>
      <c r="D30" s="29"/>
      <c r="E30" s="34"/>
      <c r="F30" s="35">
        <f>SUM(F27:F29)</f>
        <v>3.5312737826086957</v>
      </c>
      <c r="G30" s="12"/>
      <c r="H30" s="1"/>
      <c r="I30" s="1"/>
      <c r="J30" s="1"/>
      <c r="K30" s="1"/>
    </row>
    <row r="31" spans="2:17" x14ac:dyDescent="0.3">
      <c r="B31" s="10"/>
      <c r="C31" s="13"/>
      <c r="D31" s="13"/>
      <c r="E31" s="33"/>
      <c r="F31" s="14"/>
      <c r="G31" s="12"/>
      <c r="H31" s="1"/>
      <c r="I31" s="1"/>
      <c r="J31" s="1"/>
      <c r="K31" s="1"/>
      <c r="Q31" s="44"/>
    </row>
    <row r="32" spans="2:17" x14ac:dyDescent="0.3">
      <c r="B32" s="10"/>
      <c r="C32" s="27" t="s">
        <v>6</v>
      </c>
      <c r="D32" s="27" t="s">
        <v>0</v>
      </c>
      <c r="E32" s="27" t="s">
        <v>1</v>
      </c>
      <c r="F32" s="27" t="s">
        <v>2</v>
      </c>
      <c r="G32" s="12"/>
      <c r="H32" s="1"/>
      <c r="I32" s="1"/>
      <c r="J32" s="1"/>
      <c r="K32" s="1"/>
    </row>
    <row r="33" spans="2:7" x14ac:dyDescent="0.3">
      <c r="B33" s="10"/>
      <c r="C33" s="13" t="s">
        <v>85</v>
      </c>
      <c r="D33" s="13" t="s">
        <v>50</v>
      </c>
      <c r="E33" s="33">
        <f>IF(Input!C45="geen",0,IF(Input!C45="basis",Input!C29,IF(Input!C45="plus",Input!C31,IF(Input!C45="bouw",Input!C33,Input!C40))))</f>
        <v>2.5999999999999999E-2</v>
      </c>
      <c r="F33" s="14">
        <f>IF(OR(Input!C45="geen",Input!C45="basis",Input!C45="plus"),(MIN(F$39,Input!C27)-Input!C28)*'Minimum Calculation'!E33,(MIN(F$37,Input!C27)-Input!C28)*'Minimum Calculation'!E33)</f>
        <v>0.31749311834782606</v>
      </c>
      <c r="G33" s="12"/>
    </row>
    <row r="34" spans="2:7" x14ac:dyDescent="0.3">
      <c r="B34" s="10"/>
      <c r="C34" s="13" t="s">
        <v>84</v>
      </c>
      <c r="D34" s="13" t="s">
        <v>4</v>
      </c>
      <c r="E34" s="33">
        <f>IF(Input!C45="bouw",Input!C35,IF(Input!C45="UTA",Input!C42,0))</f>
        <v>0</v>
      </c>
      <c r="F34" s="5">
        <f>(MIN(F$39,Input!C27)-Input!C28)*'Minimum Calculation'!E34</f>
        <v>0</v>
      </c>
      <c r="G34" s="12"/>
    </row>
    <row r="35" spans="2:7" x14ac:dyDescent="0.3">
      <c r="B35" s="10"/>
      <c r="C35" s="29" t="s">
        <v>53</v>
      </c>
      <c r="D35" s="29"/>
      <c r="E35" s="34"/>
      <c r="F35" s="35">
        <f>SUM(F33:F34)</f>
        <v>0.31749311834782606</v>
      </c>
      <c r="G35" s="12"/>
    </row>
    <row r="36" spans="2:7" x14ac:dyDescent="0.3">
      <c r="B36" s="10"/>
      <c r="C36" s="13"/>
      <c r="D36" s="13"/>
      <c r="E36" s="33"/>
      <c r="F36" s="14"/>
      <c r="G36" s="12"/>
    </row>
    <row r="37" spans="2:7" x14ac:dyDescent="0.3">
      <c r="B37" s="10"/>
      <c r="C37" s="13" t="s">
        <v>3</v>
      </c>
      <c r="D37" s="11"/>
      <c r="E37" s="11"/>
      <c r="F37" s="15">
        <f>MAX(Input!C48,Input!C49,Input!C50)</f>
        <v>15</v>
      </c>
      <c r="G37" s="12"/>
    </row>
    <row r="38" spans="2:7" x14ac:dyDescent="0.3">
      <c r="B38" s="10"/>
      <c r="C38" s="13" t="s">
        <v>48</v>
      </c>
      <c r="D38" s="11"/>
      <c r="E38" s="11"/>
      <c r="F38" s="28">
        <f>F30</f>
        <v>3.5312737826086957</v>
      </c>
      <c r="G38" s="12"/>
    </row>
    <row r="39" spans="2:7" x14ac:dyDescent="0.3">
      <c r="B39" s="10"/>
      <c r="C39" s="29" t="s">
        <v>4</v>
      </c>
      <c r="D39" s="29"/>
      <c r="E39" s="29"/>
      <c r="F39" s="36">
        <f>SUM(F37:F38)</f>
        <v>18.531273782608697</v>
      </c>
      <c r="G39" s="12"/>
    </row>
    <row r="40" spans="2:7" x14ac:dyDescent="0.3">
      <c r="B40" s="10"/>
      <c r="C40" s="13"/>
      <c r="D40" s="11"/>
      <c r="E40" s="37"/>
      <c r="F40" s="11"/>
      <c r="G40" s="12"/>
    </row>
    <row r="41" spans="2:7" x14ac:dyDescent="0.3">
      <c r="B41" s="10"/>
      <c r="C41" s="13" t="s">
        <v>7</v>
      </c>
      <c r="D41" s="13" t="s">
        <v>4</v>
      </c>
      <c r="E41" s="38">
        <f>IF(Input!C44=1,Input!C5,Input!C6)</f>
        <v>7.0000000000000001E-3</v>
      </c>
      <c r="F41" s="37">
        <f>F39/(1+E41)/(1+E41)*E41</f>
        <v>0.1279217438982346</v>
      </c>
      <c r="G41" s="12"/>
    </row>
    <row r="42" spans="2:7" x14ac:dyDescent="0.3">
      <c r="B42" s="10"/>
      <c r="C42" s="13" t="s">
        <v>86</v>
      </c>
      <c r="D42" s="13" t="s">
        <v>50</v>
      </c>
      <c r="E42" s="50">
        <f>IF(Input!C45="geen",0,IF(Input!C45="basis",Input!C30,IF(Input!C45="plus",Input!C32,IF(Input!C45="bouw",Input!C34,Input!C41))))</f>
        <v>0</v>
      </c>
      <c r="F42" s="37">
        <f>IF(OR(Input!C45="geen",Input!C45="basis",Input!C45="plus"),(MIN(F$39,Input!C27)-Input!C28)*'Minimum Calculation'!E42,(MIN(F$37,Input!C27)-Input!C28)*'Minimum Calculation'!E42)</f>
        <v>0</v>
      </c>
      <c r="G42" s="12"/>
    </row>
    <row r="43" spans="2:7" x14ac:dyDescent="0.3">
      <c r="B43" s="10"/>
      <c r="C43" s="13" t="s">
        <v>87</v>
      </c>
      <c r="D43" s="13" t="s">
        <v>4</v>
      </c>
      <c r="E43" s="50">
        <f>IF(Input!C45="bouw",Input!C36,IF(Input!C45="UTA",Input!C43,0))</f>
        <v>0</v>
      </c>
      <c r="F43" s="30">
        <f>(MIN(F$39,Input!C27)-Input!C28)*'Minimum Calculation'!E43</f>
        <v>0</v>
      </c>
      <c r="G43" s="12"/>
    </row>
    <row r="44" spans="2:7" x14ac:dyDescent="0.3">
      <c r="B44" s="10"/>
      <c r="C44" s="29" t="s">
        <v>54</v>
      </c>
      <c r="D44" s="29"/>
      <c r="E44" s="29"/>
      <c r="F44" s="39">
        <f>MIN(F39-F41-F42-F43,Input!C3)</f>
        <v>18.403352038710462</v>
      </c>
      <c r="G44" s="12"/>
    </row>
    <row r="45" spans="2:7" ht="15.75" thickBot="1" x14ac:dyDescent="0.35">
      <c r="B45" s="16"/>
      <c r="C45" s="17"/>
      <c r="D45" s="17"/>
      <c r="E45" s="17"/>
      <c r="F45" s="17"/>
      <c r="G45" s="18"/>
    </row>
    <row r="73" spans="3:3" x14ac:dyDescent="0.3">
      <c r="C73">
        <v>0</v>
      </c>
    </row>
  </sheetData>
  <dataValidations count="1">
    <dataValidation type="list" allowBlank="1" showInputMessage="1" showErrorMessage="1" sqref="N1">
      <formula1>"Manual,Auto"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inimumCalculation">
                <anchor moveWithCells="1" siz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3</xdr:col>
                    <xdr:colOff>104775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Q73"/>
  <sheetViews>
    <sheetView tabSelected="1" zoomScale="72" workbookViewId="0">
      <selection activeCell="H38" sqref="H38"/>
    </sheetView>
  </sheetViews>
  <sheetFormatPr defaultRowHeight="15" x14ac:dyDescent="0.3"/>
  <cols>
    <col min="1" max="1" width="5.7109375" customWidth="1"/>
    <col min="2" max="2" width="3.140625" customWidth="1"/>
    <col min="3" max="3" width="30.7109375" bestFit="1" customWidth="1"/>
    <col min="4" max="4" width="24.5703125" bestFit="1" customWidth="1"/>
    <col min="5" max="5" width="14.140625" customWidth="1"/>
    <col min="6" max="6" width="11.7109375" bestFit="1" customWidth="1"/>
    <col min="7" max="7" width="3.140625" customWidth="1"/>
    <col min="8" max="8" width="11" bestFit="1" customWidth="1"/>
    <col min="9" max="9" width="11" customWidth="1"/>
    <col min="10" max="10" width="25.28515625" bestFit="1" customWidth="1"/>
    <col min="11" max="11" width="7.42578125" bestFit="1" customWidth="1"/>
    <col min="12" max="12" width="20.7109375" bestFit="1" customWidth="1"/>
    <col min="13" max="13" width="24.5703125" bestFit="1" customWidth="1"/>
    <col min="14" max="14" width="30.7109375" bestFit="1" customWidth="1"/>
    <col min="15" max="16" width="13.85546875" bestFit="1" customWidth="1"/>
  </cols>
  <sheetData>
    <row r="1" spans="2:15" ht="16.5" thickBot="1" x14ac:dyDescent="0.35">
      <c r="J1" s="20"/>
      <c r="K1" s="40"/>
      <c r="L1" s="20"/>
      <c r="M1" s="40"/>
      <c r="N1" s="40"/>
    </row>
    <row r="2" spans="2:15" x14ac:dyDescent="0.3">
      <c r="B2" s="7"/>
      <c r="C2" s="8"/>
      <c r="D2" s="8"/>
      <c r="E2" s="8"/>
      <c r="F2" s="8"/>
      <c r="G2" s="9"/>
    </row>
    <row r="3" spans="2:15" x14ac:dyDescent="0.3">
      <c r="B3" s="10"/>
      <c r="C3" s="11"/>
      <c r="D3" s="11"/>
      <c r="E3" s="11"/>
      <c r="G3" s="12"/>
      <c r="N3" s="6"/>
    </row>
    <row r="4" spans="2:15" x14ac:dyDescent="0.3">
      <c r="B4" s="10"/>
      <c r="C4" s="13"/>
      <c r="E4" s="43">
        <f>F37-(Input!C46-E8-F24-F30-F35)</f>
        <v>18.999999999999936</v>
      </c>
      <c r="F4" s="11"/>
      <c r="G4" s="12"/>
      <c r="J4" s="2"/>
      <c r="K4" s="2"/>
      <c r="L4" s="2"/>
      <c r="N4" s="6"/>
    </row>
    <row r="5" spans="2:15" x14ac:dyDescent="0.3">
      <c r="B5" s="10"/>
      <c r="C5" s="11"/>
      <c r="D5" s="11"/>
      <c r="E5" s="11"/>
      <c r="F5" s="11"/>
      <c r="G5" s="12"/>
      <c r="H5" s="3"/>
      <c r="I5" s="3"/>
      <c r="J5" s="3"/>
      <c r="K5" s="3"/>
      <c r="N5" s="4"/>
      <c r="O5" s="3"/>
    </row>
    <row r="6" spans="2:15" x14ac:dyDescent="0.3">
      <c r="B6" s="10"/>
      <c r="C6" s="13" t="s">
        <v>88</v>
      </c>
      <c r="D6" s="11"/>
      <c r="E6" s="15">
        <f>Input!C46</f>
        <v>30</v>
      </c>
      <c r="F6" s="11"/>
      <c r="G6" s="12"/>
      <c r="H6" s="3"/>
      <c r="I6" s="3"/>
      <c r="J6" s="3"/>
      <c r="K6" s="3"/>
      <c r="N6" s="4"/>
      <c r="O6" s="3"/>
    </row>
    <row r="7" spans="2:15" x14ac:dyDescent="0.3">
      <c r="B7" s="10"/>
      <c r="C7" s="11"/>
      <c r="D7" s="11"/>
      <c r="E7" s="15"/>
      <c r="F7" s="11"/>
      <c r="G7" s="12"/>
      <c r="H7" s="3"/>
      <c r="I7" s="3"/>
      <c r="J7" s="3"/>
      <c r="K7" s="3"/>
      <c r="N7" s="4"/>
      <c r="O7" s="3"/>
    </row>
    <row r="8" spans="2:15" x14ac:dyDescent="0.3">
      <c r="B8" s="19" t="s">
        <v>8</v>
      </c>
      <c r="C8" s="13" t="s">
        <v>66</v>
      </c>
      <c r="E8" s="15">
        <f>MAX(Input!C46*Input!C47,1)</f>
        <v>1.5</v>
      </c>
      <c r="F8" s="11"/>
      <c r="G8" s="12"/>
      <c r="J8" s="2"/>
      <c r="K8" s="2"/>
      <c r="L8" s="2"/>
    </row>
    <row r="9" spans="2:15" x14ac:dyDescent="0.3">
      <c r="B9" s="19" t="s">
        <v>8</v>
      </c>
      <c r="C9" s="11" t="s">
        <v>6</v>
      </c>
      <c r="D9" s="42"/>
      <c r="E9" s="47">
        <f>F33</f>
        <v>0.58162000000000003</v>
      </c>
      <c r="F9" s="11"/>
      <c r="G9" s="12"/>
      <c r="H9" s="3"/>
      <c r="I9" s="3"/>
    </row>
    <row r="10" spans="2:15" x14ac:dyDescent="0.3">
      <c r="B10" s="19" t="s">
        <v>8</v>
      </c>
      <c r="C10" s="11" t="s">
        <v>5</v>
      </c>
      <c r="D10" s="42"/>
      <c r="E10" s="47">
        <f>F22+F23</f>
        <v>6.6432207588748611</v>
      </c>
      <c r="F10" s="11"/>
      <c r="G10" s="12"/>
    </row>
    <row r="11" spans="2:15" x14ac:dyDescent="0.3">
      <c r="B11" s="10"/>
      <c r="C11" s="11"/>
      <c r="D11" s="42"/>
      <c r="E11" s="47"/>
      <c r="F11" s="11"/>
      <c r="G11" s="12"/>
    </row>
    <row r="12" spans="2:15" x14ac:dyDescent="0.3">
      <c r="B12" s="10"/>
      <c r="C12" s="26" t="s">
        <v>47</v>
      </c>
      <c r="D12" s="42"/>
      <c r="E12" s="47">
        <f>E6-SUM(E8:E10)</f>
        <v>21.275159241125138</v>
      </c>
      <c r="F12" s="11"/>
      <c r="G12" s="12"/>
      <c r="J12" s="3"/>
      <c r="O12" s="43"/>
    </row>
    <row r="13" spans="2:15" x14ac:dyDescent="0.3">
      <c r="B13" s="10"/>
      <c r="C13" s="11"/>
      <c r="D13" s="42"/>
      <c r="E13" s="47"/>
      <c r="F13" s="11"/>
      <c r="G13" s="12"/>
      <c r="O13" s="43"/>
    </row>
    <row r="14" spans="2:15" x14ac:dyDescent="0.3">
      <c r="B14" s="10"/>
      <c r="C14" s="6" t="s">
        <v>90</v>
      </c>
      <c r="D14" s="42"/>
      <c r="E14" s="47">
        <f>F37</f>
        <v>32.600424326137798</v>
      </c>
      <c r="F14" s="14"/>
      <c r="G14" s="12"/>
      <c r="H14" s="3"/>
      <c r="I14" s="6"/>
      <c r="J14" s="6"/>
      <c r="K14" s="2"/>
      <c r="L14" s="2"/>
      <c r="M14" s="41"/>
      <c r="N14" s="42"/>
      <c r="O14" s="43"/>
    </row>
    <row r="15" spans="2:15" x14ac:dyDescent="0.3">
      <c r="B15" s="10"/>
      <c r="C15" s="13" t="s">
        <v>48</v>
      </c>
      <c r="D15" s="42"/>
      <c r="E15" s="47">
        <f>F39-E14</f>
        <v>7.6747349149872761</v>
      </c>
      <c r="F15" s="11"/>
      <c r="G15" s="12"/>
      <c r="H15" s="3"/>
      <c r="I15" s="3"/>
      <c r="J15" s="3"/>
      <c r="K15" s="3"/>
      <c r="L15" s="3"/>
      <c r="O15" s="43"/>
    </row>
    <row r="16" spans="2:15" x14ac:dyDescent="0.3">
      <c r="B16" s="10"/>
      <c r="C16" s="11"/>
      <c r="D16" s="42"/>
      <c r="E16" s="47"/>
      <c r="F16" s="11"/>
      <c r="G16" s="12"/>
      <c r="O16" s="43"/>
    </row>
    <row r="17" spans="2:17" x14ac:dyDescent="0.3">
      <c r="B17" s="10"/>
      <c r="C17" s="2" t="s">
        <v>57</v>
      </c>
      <c r="D17" s="42"/>
      <c r="E17" s="47">
        <f>E6/E14</f>
        <v>0.92023342088670679</v>
      </c>
      <c r="F17" s="11"/>
      <c r="G17" s="12"/>
      <c r="I17" s="6"/>
      <c r="J17" s="2"/>
      <c r="K17" s="2"/>
      <c r="M17" s="41"/>
      <c r="N17" s="42"/>
    </row>
    <row r="18" spans="2:17" ht="15.75" thickBot="1" x14ac:dyDescent="0.35">
      <c r="B18" s="16"/>
      <c r="C18" s="17"/>
      <c r="D18" s="17"/>
      <c r="E18" s="17"/>
      <c r="F18" s="17"/>
      <c r="G18" s="18"/>
    </row>
    <row r="19" spans="2:17" ht="15.75" thickBot="1" x14ac:dyDescent="0.35"/>
    <row r="20" spans="2:17" x14ac:dyDescent="0.3">
      <c r="B20" s="7"/>
      <c r="C20" s="31"/>
      <c r="D20" s="8"/>
      <c r="E20" s="32"/>
      <c r="F20" s="8"/>
      <c r="G20" s="9"/>
    </row>
    <row r="21" spans="2:17" x14ac:dyDescent="0.3">
      <c r="B21" s="10"/>
      <c r="C21" s="27" t="s">
        <v>5</v>
      </c>
      <c r="D21" s="27" t="s">
        <v>0</v>
      </c>
      <c r="E21" s="27" t="s">
        <v>1</v>
      </c>
      <c r="F21" s="27" t="s">
        <v>2</v>
      </c>
      <c r="G21" s="12"/>
    </row>
    <row r="22" spans="2:17" x14ac:dyDescent="0.3">
      <c r="B22" s="10"/>
      <c r="C22" s="13" t="s">
        <v>30</v>
      </c>
      <c r="D22" s="13" t="s">
        <v>54</v>
      </c>
      <c r="E22" s="33">
        <f>IF(Input!C44=1,Input!C4+Input!C7+Input!C8+Input!C10+Input!C11+Input!C12,Input!C4+Input!C7+Input!C9+Input!C10+Input!C11+Input!C12)</f>
        <v>0.2414</v>
      </c>
      <c r="F22" s="14">
        <f>E22*F$44</f>
        <v>6.232414134615385</v>
      </c>
      <c r="G22" s="12"/>
      <c r="H22" s="1"/>
      <c r="I22" s="1"/>
      <c r="J22" s="1"/>
      <c r="K22" s="1"/>
    </row>
    <row r="23" spans="2:17" x14ac:dyDescent="0.3">
      <c r="B23" s="10"/>
      <c r="C23" s="13" t="s">
        <v>31</v>
      </c>
      <c r="D23" s="13" t="s">
        <v>4</v>
      </c>
      <c r="E23" s="33">
        <v>1.0200000000000001E-2</v>
      </c>
      <c r="F23" s="14">
        <f>E23*F$39</f>
        <v>0.41080662425947578</v>
      </c>
      <c r="G23" s="12"/>
      <c r="H23" s="1"/>
      <c r="I23" s="1"/>
      <c r="J23" s="1"/>
      <c r="K23" s="1"/>
    </row>
    <row r="24" spans="2:17" x14ac:dyDescent="0.3">
      <c r="B24" s="10"/>
      <c r="C24" s="29" t="s">
        <v>51</v>
      </c>
      <c r="D24" s="29"/>
      <c r="E24" s="34"/>
      <c r="F24" s="35">
        <f>SUM(F22:F23)</f>
        <v>6.6432207588748611</v>
      </c>
      <c r="G24" s="12"/>
      <c r="H24" s="1"/>
      <c r="I24" s="1"/>
      <c r="J24" s="1"/>
      <c r="K24" s="1"/>
    </row>
    <row r="25" spans="2:17" x14ac:dyDescent="0.3">
      <c r="B25" s="10"/>
      <c r="C25" s="13"/>
      <c r="D25" s="13"/>
      <c r="E25" s="33"/>
      <c r="F25" s="14"/>
      <c r="G25" s="12"/>
      <c r="H25" s="1"/>
      <c r="I25" s="1"/>
      <c r="J25" s="1"/>
      <c r="K25" s="1"/>
      <c r="N25" s="2"/>
      <c r="O25" s="2"/>
    </row>
    <row r="26" spans="2:17" x14ac:dyDescent="0.3">
      <c r="B26" s="10"/>
      <c r="C26" s="27" t="s">
        <v>48</v>
      </c>
      <c r="D26" s="27" t="s">
        <v>0</v>
      </c>
      <c r="E26" s="27" t="s">
        <v>1</v>
      </c>
      <c r="F26" s="27" t="s">
        <v>2</v>
      </c>
      <c r="G26" s="12"/>
      <c r="H26" s="1"/>
      <c r="I26" s="1"/>
      <c r="J26" s="1"/>
      <c r="K26" s="1"/>
      <c r="M26" s="2"/>
    </row>
    <row r="27" spans="2:17" x14ac:dyDescent="0.3">
      <c r="B27" s="10"/>
      <c r="C27" s="13" t="s">
        <v>45</v>
      </c>
      <c r="D27" s="13" t="s">
        <v>3</v>
      </c>
      <c r="E27" s="33">
        <f>IF(Input!C44=1,Input!C18+Input!C19+Input!C20+Input!C21+Input!C22,Input!C18+Input!C19+Input!C20+Input!C21+Input!C22)</f>
        <v>0.13643478260869565</v>
      </c>
      <c r="F27" s="14">
        <f>E27*F$37</f>
        <v>4.4478318058878443</v>
      </c>
      <c r="G27" s="12"/>
      <c r="H27" s="1"/>
      <c r="I27" s="1"/>
      <c r="J27" s="43"/>
      <c r="K27" s="1"/>
      <c r="M27" s="2"/>
    </row>
    <row r="28" spans="2:17" x14ac:dyDescent="0.3">
      <c r="B28" s="10"/>
      <c r="C28" s="13" t="s">
        <v>46</v>
      </c>
      <c r="D28" s="13" t="s">
        <v>49</v>
      </c>
      <c r="E28" s="33">
        <f>IF(Input!C44=1,Input!C25,Input!C26)</f>
        <v>7.1000000000000004E-3</v>
      </c>
      <c r="F28" s="14">
        <f>E28*(F$37+F27)</f>
        <v>0.26304261853738209</v>
      </c>
      <c r="G28" s="12"/>
      <c r="H28" s="1"/>
      <c r="I28" s="1"/>
      <c r="J28" s="43"/>
      <c r="K28" s="1"/>
      <c r="M28" s="2"/>
    </row>
    <row r="29" spans="2:17" x14ac:dyDescent="0.3">
      <c r="B29" s="10"/>
      <c r="C29" s="13" t="s">
        <v>44</v>
      </c>
      <c r="D29" s="13" t="s">
        <v>49</v>
      </c>
      <c r="E29" s="33">
        <f>Input!C23</f>
        <v>0.08</v>
      </c>
      <c r="F29" s="14">
        <f>E29*(F37+F27)</f>
        <v>2.9638604905620514</v>
      </c>
      <c r="G29" s="12"/>
      <c r="H29" s="1"/>
      <c r="I29" s="1"/>
      <c r="J29" s="1"/>
      <c r="K29" s="1"/>
    </row>
    <row r="30" spans="2:17" x14ac:dyDescent="0.3">
      <c r="B30" s="10"/>
      <c r="C30" s="29" t="s">
        <v>52</v>
      </c>
      <c r="D30" s="29"/>
      <c r="E30" s="34"/>
      <c r="F30" s="35">
        <f>SUM(F27:F29)</f>
        <v>7.6747349149872779</v>
      </c>
      <c r="G30" s="12"/>
      <c r="H30" s="1"/>
      <c r="I30" s="1"/>
      <c r="J30" s="1"/>
      <c r="K30" s="1"/>
    </row>
    <row r="31" spans="2:17" x14ac:dyDescent="0.3">
      <c r="B31" s="10"/>
      <c r="C31" s="13"/>
      <c r="D31" s="13"/>
      <c r="E31" s="33"/>
      <c r="F31" s="14"/>
      <c r="G31" s="12"/>
      <c r="H31" s="1"/>
      <c r="I31" s="1"/>
      <c r="J31" s="1"/>
      <c r="K31" s="1"/>
      <c r="Q31" s="44"/>
    </row>
    <row r="32" spans="2:17" x14ac:dyDescent="0.3">
      <c r="B32" s="10"/>
      <c r="C32" s="27" t="s">
        <v>6</v>
      </c>
      <c r="D32" s="27" t="s">
        <v>0</v>
      </c>
      <c r="E32" s="27" t="s">
        <v>1</v>
      </c>
      <c r="F32" s="27" t="s">
        <v>2</v>
      </c>
      <c r="G32" s="12"/>
      <c r="H32" s="1"/>
      <c r="I32" s="1"/>
      <c r="J32" s="1"/>
      <c r="K32" s="1"/>
    </row>
    <row r="33" spans="2:8" x14ac:dyDescent="0.3">
      <c r="B33" s="10"/>
      <c r="C33" s="13" t="s">
        <v>85</v>
      </c>
      <c r="D33" s="13" t="s">
        <v>50</v>
      </c>
      <c r="E33" s="33">
        <f>IF(Input!C45="geen",0,IF(Input!C45="basis",Input!C29,IF(Input!C45="plus",Input!C31,IF(Input!C45="bouw",Input!C33,Input!C40))))</f>
        <v>2.5999999999999999E-2</v>
      </c>
      <c r="F33" s="14">
        <f>IF(OR(Input!C45="geen",Input!C45="basis",Input!C45="plus"),(MIN(F$39,Input!C27)-Input!C28)*Calculation!E33,(MIN(F$37,Input!C27)-Input!C28)*Calculation!E33)</f>
        <v>0.58162000000000003</v>
      </c>
      <c r="G33" s="12"/>
    </row>
    <row r="34" spans="2:8" x14ac:dyDescent="0.3">
      <c r="B34" s="10"/>
      <c r="C34" s="13" t="s">
        <v>84</v>
      </c>
      <c r="D34" s="13" t="s">
        <v>4</v>
      </c>
      <c r="E34" s="33">
        <f>IF(Input!C45="bouw",Input!C35,IF(Input!C45="UTA",Input!C42,0))</f>
        <v>0</v>
      </c>
      <c r="F34" s="5">
        <f>(MIN(F$39,Input!C27)-Input!C28)*Calculation!E34</f>
        <v>0</v>
      </c>
      <c r="G34" s="12"/>
    </row>
    <row r="35" spans="2:8" x14ac:dyDescent="0.3">
      <c r="B35" s="10"/>
      <c r="C35" s="29" t="s">
        <v>53</v>
      </c>
      <c r="D35" s="29"/>
      <c r="E35" s="34"/>
      <c r="F35" s="35">
        <f>SUM(F33:F34)</f>
        <v>0.58162000000000003</v>
      </c>
      <c r="G35" s="12"/>
    </row>
    <row r="36" spans="2:8" x14ac:dyDescent="0.3">
      <c r="B36" s="10"/>
      <c r="C36" s="13"/>
      <c r="D36" s="13"/>
      <c r="E36" s="33"/>
      <c r="F36" s="14"/>
      <c r="G36" s="12"/>
    </row>
    <row r="37" spans="2:8" x14ac:dyDescent="0.3">
      <c r="B37" s="10"/>
      <c r="C37" s="13" t="s">
        <v>3</v>
      </c>
      <c r="D37" s="11"/>
      <c r="E37" s="11"/>
      <c r="F37" s="15">
        <v>32.600424326137798</v>
      </c>
      <c r="G37" s="12"/>
      <c r="H37" s="62">
        <f>E27*Input!C46</f>
        <v>4.0930434782608698</v>
      </c>
    </row>
    <row r="38" spans="2:8" x14ac:dyDescent="0.3">
      <c r="B38" s="10"/>
      <c r="C38" s="13" t="s">
        <v>48</v>
      </c>
      <c r="D38" s="11"/>
      <c r="E38" s="11"/>
      <c r="F38" s="28">
        <f>F30</f>
        <v>7.6747349149872779</v>
      </c>
      <c r="G38" s="12"/>
    </row>
    <row r="39" spans="2:8" x14ac:dyDescent="0.3">
      <c r="B39" s="10"/>
      <c r="C39" s="29" t="s">
        <v>4</v>
      </c>
      <c r="D39" s="29"/>
      <c r="E39" s="29"/>
      <c r="F39" s="36">
        <f>SUM(F37:F38)</f>
        <v>40.275159241125074</v>
      </c>
      <c r="G39" s="12"/>
    </row>
    <row r="40" spans="2:8" x14ac:dyDescent="0.3">
      <c r="B40" s="10"/>
      <c r="C40" s="13"/>
      <c r="D40" s="11"/>
      <c r="E40" s="37"/>
      <c r="F40" s="11"/>
      <c r="G40" s="12"/>
    </row>
    <row r="41" spans="2:8" x14ac:dyDescent="0.3">
      <c r="B41" s="10"/>
      <c r="C41" s="13" t="s">
        <v>7</v>
      </c>
      <c r="D41" s="13" t="s">
        <v>4</v>
      </c>
      <c r="E41" s="38">
        <f>IF(Input!C44=1,Input!C5,Input!C6)</f>
        <v>7.0000000000000001E-3</v>
      </c>
      <c r="F41" s="37">
        <f>F39/(1+E41)/(1+E41)*E41</f>
        <v>0.27802020877479849</v>
      </c>
      <c r="G41" s="12"/>
    </row>
    <row r="42" spans="2:8" x14ac:dyDescent="0.3">
      <c r="B42" s="10"/>
      <c r="C42" s="13" t="s">
        <v>86</v>
      </c>
      <c r="D42" s="13" t="s">
        <v>50</v>
      </c>
      <c r="E42" s="50">
        <f>IF(Input!C45="geen",0,IF(Input!C45="basis",Input!C30,IF(Input!C45="plus",Input!C32,IF(Input!C45="bouw",Input!C34,Input!C41))))</f>
        <v>0</v>
      </c>
      <c r="F42" s="37">
        <f>IF(OR(Input!C45="geen",Input!C45="basis",Input!C45="plus"),(MIN(F$39,Input!C27)-Input!C28)*Calculation!E42,(MIN(F$37,Input!C27)-Input!C28)*Calculation!E42)</f>
        <v>0</v>
      </c>
      <c r="G42" s="12"/>
    </row>
    <row r="43" spans="2:8" x14ac:dyDescent="0.3">
      <c r="B43" s="10"/>
      <c r="C43" s="13" t="s">
        <v>87</v>
      </c>
      <c r="D43" s="13" t="s">
        <v>4</v>
      </c>
      <c r="E43" s="50">
        <f>IF(Input!C45="bouw",Input!C36,IF(Input!C45="UTA",Input!C43,0))</f>
        <v>0</v>
      </c>
      <c r="F43" s="30">
        <f>(MIN(F$39,Input!C27)-Input!C28)*Calculation!E43</f>
        <v>0</v>
      </c>
      <c r="G43" s="12"/>
    </row>
    <row r="44" spans="2:8" x14ac:dyDescent="0.3">
      <c r="B44" s="10"/>
      <c r="C44" s="29" t="s">
        <v>54</v>
      </c>
      <c r="D44" s="29"/>
      <c r="E44" s="29"/>
      <c r="F44" s="39">
        <f>MIN(F39-F41-F42-F43,Input!C3)</f>
        <v>25.817788461538463</v>
      </c>
      <c r="G44" s="12"/>
    </row>
    <row r="45" spans="2:8" ht="15.75" thickBot="1" x14ac:dyDescent="0.35">
      <c r="B45" s="16"/>
      <c r="C45" s="17"/>
      <c r="D45" s="17"/>
      <c r="E45" s="17"/>
      <c r="F45" s="17"/>
      <c r="G45" s="18"/>
    </row>
    <row r="73" spans="3:3" x14ac:dyDescent="0.3">
      <c r="C73">
        <v>0</v>
      </c>
    </row>
  </sheetData>
  <phoneticPr fontId="4" type="noConversion"/>
  <dataValidations count="1">
    <dataValidation type="list" allowBlank="1" showInputMessage="1" showErrorMessage="1" sqref="N1">
      <formula1>"Manual,Auto"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Knop 23">
              <controlPr defaultSize="0" print="0" autoFill="0" autoPict="0" macro="[0]!_xludf.Calculation">
                <anchor moveWithCells="1" siz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3</xdr:col>
                    <xdr:colOff>104775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F6"/>
  <sheetViews>
    <sheetView workbookViewId="0">
      <selection activeCell="G9" sqref="G9"/>
    </sheetView>
  </sheetViews>
  <sheetFormatPr defaultRowHeight="15" x14ac:dyDescent="0.3"/>
  <cols>
    <col min="1" max="1" width="24" style="43" bestFit="1" customWidth="1"/>
  </cols>
  <sheetData>
    <row r="1" spans="1:6" ht="15.75" x14ac:dyDescent="0.3">
      <c r="A1" s="60" t="s">
        <v>9</v>
      </c>
      <c r="B1" s="20" t="s">
        <v>10</v>
      </c>
      <c r="C1" s="23" t="s">
        <v>11</v>
      </c>
      <c r="D1" s="48"/>
      <c r="E1" s="2"/>
      <c r="F1" s="2"/>
    </row>
    <row r="2" spans="1:6" ht="15.75" x14ac:dyDescent="0.3">
      <c r="A2" s="25" t="s">
        <v>57</v>
      </c>
      <c r="B2" s="21" t="s">
        <v>55</v>
      </c>
      <c r="C2" s="25">
        <f>Calculation!E17</f>
        <v>0.92023342088670679</v>
      </c>
      <c r="D2" s="2"/>
      <c r="E2" s="2"/>
      <c r="F2" s="2"/>
    </row>
    <row r="3" spans="1:6" ht="15.75" x14ac:dyDescent="0.3">
      <c r="A3" s="25" t="s">
        <v>90</v>
      </c>
      <c r="B3" s="21" t="s">
        <v>55</v>
      </c>
      <c r="C3" s="25">
        <f>Calculation!F37</f>
        <v>32.600424326137798</v>
      </c>
      <c r="D3" s="2"/>
      <c r="E3" s="2"/>
      <c r="F3" s="2"/>
    </row>
    <row r="4" spans="1:6" ht="15.75" x14ac:dyDescent="0.3">
      <c r="A4" s="25" t="s">
        <v>89</v>
      </c>
      <c r="B4" s="21" t="s">
        <v>55</v>
      </c>
      <c r="C4" s="25">
        <f>'Minimum Calculation'!E6</f>
        <v>24.980355075683839</v>
      </c>
      <c r="D4" s="2"/>
      <c r="E4" s="2"/>
      <c r="F4" s="2"/>
    </row>
    <row r="5" spans="1:6" x14ac:dyDescent="0.3">
      <c r="A5" s="61"/>
      <c r="B5" s="2"/>
      <c r="C5" s="2"/>
      <c r="D5" s="2"/>
      <c r="E5" s="2"/>
      <c r="F5" s="2"/>
    </row>
    <row r="6" spans="1:6" x14ac:dyDescent="0.3">
      <c r="A6" s="61"/>
      <c r="B6" s="2"/>
      <c r="C6" s="2"/>
      <c r="D6" s="2"/>
      <c r="E6" s="2"/>
      <c r="F6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3BBDBCCBECBC46BDDDF7E8163DBDD8" ma:contentTypeVersion="8" ma:contentTypeDescription="Een nieuw document maken." ma:contentTypeScope="" ma:versionID="bc75b8e94342460dd13a2823f94ea818">
  <xsd:schema xmlns:xsd="http://www.w3.org/2001/XMLSchema" xmlns:xs="http://www.w3.org/2001/XMLSchema" xmlns:p="http://schemas.microsoft.com/office/2006/metadata/properties" xmlns:ns2="423c75e3-6e0e-4d1f-8dd9-5305687037ae" xmlns:ns3="bc1a7352-0a19-4ee3-bb99-9b52abad368d" targetNamespace="http://schemas.microsoft.com/office/2006/metadata/properties" ma:root="true" ma:fieldsID="42cd385a943720708855e41255726335" ns2:_="" ns3:_="">
    <xsd:import namespace="423c75e3-6e0e-4d1f-8dd9-5305687037ae"/>
    <xsd:import namespace="bc1a7352-0a19-4ee3-bb99-9b52abad36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3c75e3-6e0e-4d1f-8dd9-5305687037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a7352-0a19-4ee3-bb99-9b52abad368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EABE960-CA64-4823-A823-BF7EAF4C14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E4157C-E2D9-487F-B067-04BE1A3602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3c75e3-6e0e-4d1f-8dd9-5305687037ae"/>
    <ds:schemaRef ds:uri="bc1a7352-0a19-4ee3-bb99-9b52abad36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C089C0C-0983-44F4-8035-EDABC7466F38}">
  <ds:schemaRefs>
    <ds:schemaRef ds:uri="http://schemas.microsoft.com/office/2006/documentManagement/types"/>
    <ds:schemaRef ds:uri="http://schemas.microsoft.com/office/infopath/2007/PartnerControls"/>
    <ds:schemaRef ds:uri="423c75e3-6e0e-4d1f-8dd9-5305687037ae"/>
    <ds:schemaRef ds:uri="http://purl.org/dc/elements/1.1/"/>
    <ds:schemaRef ds:uri="http://schemas.microsoft.com/office/2006/metadata/properties"/>
    <ds:schemaRef ds:uri="bc1a7352-0a19-4ee3-bb99-9b52abad368d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Minimum Calculation</vt:lpstr>
      <vt:lpstr>Calculation</vt:lpstr>
      <vt:lpstr>Output</vt:lpstr>
    </vt:vector>
  </TitlesOfParts>
  <Company>Hoek en Blok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</dc:creator>
  <cp:lastModifiedBy>Bijesh Chandran</cp:lastModifiedBy>
  <cp:lastPrinted>2017-07-13T07:58:18Z</cp:lastPrinted>
  <dcterms:created xsi:type="dcterms:W3CDTF">2010-02-05T13:21:38Z</dcterms:created>
  <dcterms:modified xsi:type="dcterms:W3CDTF">2018-01-26T09:33:08Z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0x0101003F3BBDBCCBECBC46BDDDF7E8163DBDD8</vt:lpwstr>
  </property>
  <property fmtid="{D5CDD505-2E9C-101B-9397-08002B2CF9AE}" pid="3" name="WorkbookGuid">
    <vt:lpwstr>afe9b8ec-43b3-4b37-ab57-ee8ef216fb9c</vt:lpwstr>
  </property>
</Properties>
</file>